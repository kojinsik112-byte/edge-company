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  <sheet xmlns:r="http://schemas.openxmlformats.org/officeDocument/2006/relationships" name="상세내역" sheetId="2" state="visible" r:id="rId2"/>
    <sheet xmlns:r="http://schemas.openxmlformats.org/officeDocument/2006/relationships" name="공정표" sheetId="3" state="visible" r:id="rId3"/>
    <sheet xmlns:r="http://schemas.openxmlformats.org/officeDocument/2006/relationships" name="선택공사" sheetId="4" state="visible" r:id="rId4"/>
    <sheet xmlns:r="http://schemas.openxmlformats.org/officeDocument/2006/relationships" name="계약조건" sheetId="5" state="visible" r:id="rId5"/>
  </sheets>
  <definedNames>
    <definedName name="_xlnm.Print_Titles" localSheetId="1">'상세내역'!$4:$4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-#,##0;&quot;-&quot;"/>
    <numFmt numFmtId="165" formatCode="#,##0;-#,##0;&quot;무상&quot;"/>
    <numFmt numFmtId="166" formatCode="&quot;₩&quot;#,##0"/>
    <numFmt numFmtId="167" formatCode="0.0%"/>
    <numFmt numFmtId="168" formatCode="yyyy-mm-dd"/>
    <numFmt numFmtId="169" formatCode="m/d"/>
  </numFmts>
  <fonts count="23">
    <font>
      <name val="Calibri"/>
      <family val="2"/>
      <color theme="1"/>
      <sz val="11"/>
      <scheme val="minor"/>
    </font>
    <font>
      <name val="맑은 고딕"/>
      <b val="1"/>
      <color rgb="001D1D1F"/>
      <sz val="16"/>
    </font>
    <font>
      <name val="맑은 고딕"/>
      <color rgb="006E6E73"/>
      <sz val="9"/>
    </font>
    <font>
      <name val="맑은 고딕"/>
      <color rgb="000000FF"/>
      <sz val="9"/>
    </font>
    <font>
      <name val="맑은 고딕"/>
      <b val="1"/>
      <color rgb="001D1D1F"/>
      <sz val="10"/>
    </font>
    <font>
      <name val="맑은 고딕"/>
      <color rgb="001D1D1F"/>
      <sz val="10"/>
    </font>
    <font>
      <name val="맑은 고딕"/>
      <color rgb="001D1D1F"/>
      <sz val="9"/>
    </font>
    <font>
      <name val="맑은 고딕"/>
      <color rgb="000000FF"/>
      <sz val="10"/>
    </font>
    <font>
      <name val="맑은 고딕"/>
      <b val="1"/>
      <color rgb="001D1D1F"/>
      <sz val="11"/>
    </font>
    <font>
      <name val="맑은 고딕"/>
      <b val="1"/>
      <color rgb="001D1D1F"/>
      <sz val="20"/>
    </font>
    <font>
      <name val="맑은 고딕"/>
      <b val="1"/>
      <color rgb="00A8875A"/>
      <sz val="9"/>
    </font>
    <font>
      <name val="맑은 고딕"/>
      <b val="1"/>
      <color rgb="000000FF"/>
      <sz val="11"/>
    </font>
    <font>
      <name val="맑은 고딕"/>
      <b val="1"/>
      <color rgb="001D1D1F"/>
      <sz val="15"/>
    </font>
    <font>
      <name val="맑은 고딕"/>
      <color rgb="00008000"/>
      <sz val="10"/>
    </font>
    <font>
      <name val="맑은 고딕"/>
      <b val="1"/>
      <color rgb="000000FF"/>
      <sz val="10"/>
    </font>
    <font>
      <name val="맑은 고딕"/>
      <b val="1"/>
      <color rgb="001D1D1F"/>
      <sz val="12"/>
    </font>
    <font>
      <name val="맑은 고딕"/>
      <b val="1"/>
      <color rgb="001D1D1F"/>
      <sz val="9"/>
    </font>
    <font>
      <name val="맑은 고딕"/>
      <b val="1"/>
      <color rgb="001D1D1F"/>
      <sz val="7"/>
    </font>
    <font>
      <name val="맑은 고딕"/>
      <color rgb="001D1D1F"/>
      <sz val="7"/>
    </font>
    <font>
      <name val="맑은 고딕"/>
      <color rgb="006E6E73"/>
      <sz val="6"/>
    </font>
    <font>
      <name val="맑은 고딕"/>
      <color rgb="006E6E73"/>
      <sz val="8"/>
    </font>
    <font>
      <name val="맑은 고딕"/>
      <b val="1"/>
      <color rgb="00B23B3B"/>
      <sz val="10"/>
    </font>
    <font>
      <name val="맑은 고딕"/>
      <b val="1"/>
      <color rgb="00B23B3B"/>
      <sz val="9"/>
    </font>
  </fonts>
  <fills count="13">
    <fill>
      <patternFill/>
    </fill>
    <fill>
      <patternFill patternType="gray125"/>
    </fill>
    <fill>
      <patternFill patternType="solid">
        <fgColor rgb="00EFEAE2"/>
      </patternFill>
    </fill>
    <fill>
      <patternFill patternType="solid">
        <fgColor rgb="00F7F4EF"/>
      </patternFill>
    </fill>
    <fill>
      <patternFill patternType="solid">
        <fgColor rgb="00F2EEE7"/>
      </patternFill>
    </fill>
    <fill>
      <patternFill patternType="solid">
        <fgColor rgb="00E8DFD0"/>
      </patternFill>
    </fill>
    <fill>
      <patternFill patternType="solid">
        <fgColor rgb="00FFF3B0"/>
      </patternFill>
    </fill>
    <fill>
      <patternFill patternType="solid">
        <fgColor rgb="009AA0A6"/>
      </patternFill>
    </fill>
    <fill>
      <patternFill patternType="solid">
        <fgColor rgb="005B7FA6"/>
      </patternFill>
    </fill>
    <fill>
      <patternFill patternType="solid">
        <fgColor rgb="005F9EA0"/>
      </patternFill>
    </fill>
    <fill>
      <patternFill patternType="solid">
        <fgColor rgb="00B08D57"/>
      </patternFill>
    </fill>
    <fill>
      <patternFill patternType="solid">
        <fgColor rgb="008A9A5B"/>
      </patternFill>
    </fill>
    <fill>
      <patternFill patternType="solid">
        <fgColor rgb="004A4A4D"/>
      </patternFill>
    </fill>
  </fills>
  <borders count="9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  <border>
      <left/>
      <right/>
      <top style="thin">
        <color rgb="00C9C2B8"/>
      </top>
      <bottom/>
      <diagonal/>
    </border>
    <border>
      <left/>
      <right style="thin">
        <color rgb="00C9C2B8"/>
      </right>
      <top style="thin">
        <color rgb="00C9C2B8"/>
      </top>
      <bottom/>
      <diagonal/>
    </border>
    <border>
      <left/>
      <right/>
      <top style="thin">
        <color rgb="00C9C2B8"/>
      </top>
      <bottom style="thin">
        <color rgb="00C9C2B8"/>
      </bottom>
      <diagonal/>
    </border>
    <border>
      <left/>
      <right style="thin">
        <color rgb="00C9C2B8"/>
      </right>
      <top style="thin">
        <color rgb="00C9C2B8"/>
      </top>
      <bottom style="thin">
        <color rgb="00C9C2B8"/>
      </bottom>
      <diagonal/>
    </border>
    <border>
      <left style="thin">
        <color rgb="00C9C2B8"/>
      </left>
      <right/>
      <top/>
      <bottom/>
      <diagonal/>
    </border>
    <border>
      <left style="thin">
        <color rgb="00C9C2B8"/>
      </left>
      <right style="thin">
        <color rgb="00C9C2B8"/>
      </right>
      <top/>
      <bottom/>
      <diagonal/>
    </border>
    <border>
      <left style="thin">
        <color rgb="00C9C2B8"/>
      </left>
      <right style="thin">
        <color rgb="00C9C2B8"/>
      </right>
      <top/>
      <bottom style="thin">
        <color rgb="00C9C2B8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8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13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164" fontId="1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168" fontId="14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7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8" fillId="2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엣지컴퍼니</author>
  </authors>
  <commentList>
    <comment ref="C4" authorId="0" shapeId="0">
      <text>
        <t>고객 성함을 입력하세요.</t>
      </text>
    </comment>
    <comment ref="C5" authorId="0" shapeId="0">
      <text>
        <t>현장 주소(아파트명·동·호수)를 입력하세요.</t>
      </text>
    </comment>
    <comment ref="C20" authorId="0" shapeId="0">
      <text>
        <t>총액이 바뀌면 한글 금액도 함께 고쳐 주세요.</t>
      </text>
    </comment>
    <comment ref="E40" authorId="0" shapeId="0">
      <text>
        <t>요율 입력값 (기본 5%).</t>
      </text>
    </comment>
    <comment ref="D42" authorId="0" shapeId="0">
      <text>
        <t>입력값. 수량·단가를 바꾸면 총액이 원하는 금액이 되도록 이 값을 조정하세요.</t>
      </text>
    </comment>
  </commentList>
</comments>
</file>

<file path=xl/comments/comment2.xml><?xml version="1.0" encoding="utf-8"?>
<comments xmlns="http://schemas.openxmlformats.org/spreadsheetml/2006/main">
  <authors>
    <author>엣지컴퍼니</author>
  </authors>
  <commentList>
    <comment ref="B2" authorId="0" shapeId="0">
      <text>
        <t>착공일(월요일)을 입력하면 날짜 행이 자동 계산됩니다. 공휴일은 수동으로 순연하세요.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4" customWidth="1" min="3" max="3"/>
    <col width="17" customWidth="1" min="4" max="4"/>
    <col width="10" customWidth="1" min="5" max="5"/>
    <col width="16" customWidth="1" min="6" max="6"/>
  </cols>
  <sheetData>
    <row r="1" ht="40" customHeight="1">
      <c r="A1" s="1" t="inlineStr">
        <is>
          <t>인 테 리 어   공 사   견 적 서</t>
        </is>
      </c>
    </row>
    <row r="2">
      <c r="A2" s="2" t="inlineStr">
        <is>
          <t>EDGE COMPANY Co., Ltd.  ·  INTERIOR ESTIMATE</t>
        </is>
      </c>
    </row>
    <row r="4">
      <c r="B4" s="3" t="inlineStr">
        <is>
          <t>고 객 명</t>
        </is>
      </c>
      <c r="C4" s="4" t="n"/>
      <c r="D4" s="5" t="n"/>
      <c r="E4" s="6" t="inlineStr">
        <is>
          <t>고객님 귀하</t>
        </is>
      </c>
      <c r="F4" s="5" t="n"/>
    </row>
    <row r="5">
      <c r="B5" s="3" t="inlineStr">
        <is>
          <t>현장 주소</t>
        </is>
      </c>
      <c r="C5" s="7" t="n"/>
      <c r="D5" s="8" t="n"/>
      <c r="E5" s="8" t="n"/>
      <c r="F5" s="5" t="n"/>
    </row>
    <row r="6">
      <c r="B6" s="3" t="inlineStr">
        <is>
          <t>공 사 명</t>
        </is>
      </c>
      <c r="C6" s="9" t="inlineStr">
        <is>
          <t>아파트 32평형 전체 리모델링 공사</t>
        </is>
      </c>
      <c r="D6" s="8" t="n"/>
      <c r="E6" s="8" t="n"/>
      <c r="F6" s="5" t="n"/>
    </row>
    <row r="7">
      <c r="B7" s="3" t="inlineStr">
        <is>
          <t>공사 규모</t>
        </is>
      </c>
      <c r="C7" s="9" t="inlineStr">
        <is>
          <t>공급 105㎡(32평형) / 전용 84㎡ · 확장형 · 방3 · 욕실2 · 천장고 2.3m</t>
        </is>
      </c>
      <c r="D7" s="8" t="n"/>
      <c r="E7" s="8" t="n"/>
      <c r="F7" s="5" t="n"/>
    </row>
    <row r="8">
      <c r="B8" s="3" t="inlineStr">
        <is>
          <t>공사 기간</t>
        </is>
      </c>
      <c r="C8" s="9" t="inlineStr">
        <is>
          <t>착공 후 6주 (작업일 36일, 일요일·공휴일 휴무)</t>
        </is>
      </c>
      <c r="D8" s="8" t="n"/>
      <c r="E8" s="8" t="n"/>
      <c r="F8" s="5" t="n"/>
    </row>
    <row r="9">
      <c r="B9" s="3" t="inlineStr">
        <is>
          <t>견적 번호</t>
        </is>
      </c>
      <c r="C9" s="9" t="inlineStr">
        <is>
          <t>EC-INT-20261018-01   (견적일 2026. 10. 18)</t>
        </is>
      </c>
      <c r="D9" s="8" t="n"/>
      <c r="E9" s="8" t="n"/>
      <c r="F9" s="5" t="n"/>
    </row>
    <row r="10">
      <c r="B10" s="3" t="inlineStr">
        <is>
          <t>유효 기간</t>
        </is>
      </c>
      <c r="C10" s="9" t="inlineStr">
        <is>
          <t>2026. 11. 17 (견적일로부터 30일)</t>
        </is>
      </c>
      <c r="D10" s="8" t="n"/>
      <c r="E10" s="8" t="n"/>
      <c r="F10" s="5" t="n"/>
    </row>
    <row r="12">
      <c r="A12" s="3" t="inlineStr">
        <is>
          <t>공  급  자</t>
        </is>
      </c>
      <c r="B12" s="8" t="n"/>
      <c r="C12" s="8" t="n"/>
      <c r="D12" s="8" t="n"/>
      <c r="E12" s="8" t="n"/>
      <c r="F12" s="5" t="n"/>
    </row>
    <row r="13">
      <c r="B13" s="10" t="inlineStr">
        <is>
          <t>상 호</t>
        </is>
      </c>
      <c r="C13" s="9" t="inlineStr">
        <is>
          <t>㈜엣지컴퍼니</t>
        </is>
      </c>
      <c r="D13" s="8" t="n"/>
      <c r="E13" s="8" t="n"/>
      <c r="F13" s="5" t="n"/>
    </row>
    <row r="14">
      <c r="B14" s="10" t="inlineStr">
        <is>
          <t>대표이사</t>
        </is>
      </c>
      <c r="C14" s="9" t="inlineStr">
        <is>
          <t>고 진 식   (인)</t>
        </is>
      </c>
      <c r="D14" s="8" t="n"/>
      <c r="E14" s="8" t="n"/>
      <c r="F14" s="5" t="n"/>
    </row>
    <row r="15">
      <c r="B15" s="10" t="inlineStr">
        <is>
          <t>사업자등록번호</t>
        </is>
      </c>
      <c r="C15" s="9" t="inlineStr">
        <is>
          <t>508-81-42798</t>
        </is>
      </c>
      <c r="D15" s="8" t="n"/>
      <c r="E15" s="8" t="n"/>
      <c r="F15" s="5" t="n"/>
    </row>
    <row r="16">
      <c r="B16" s="10" t="inlineStr">
        <is>
          <t>주 소</t>
        </is>
      </c>
      <c r="C16" s="9" t="inlineStr">
        <is>
          <t>울산광역시 울주군 청량읍 온산로 615-1, 2·3층</t>
        </is>
      </c>
      <c r="D16" s="8" t="n"/>
      <c r="E16" s="8" t="n"/>
      <c r="F16" s="5" t="n"/>
    </row>
    <row r="17">
      <c r="B17" s="10" t="inlineStr">
        <is>
          <t>대표번호</t>
        </is>
      </c>
      <c r="C17" s="9" t="inlineStr">
        <is>
          <t>1533-3210</t>
        </is>
      </c>
      <c r="D17" s="8" t="n"/>
      <c r="E17" s="8" t="n"/>
      <c r="F17" s="5" t="n"/>
    </row>
    <row r="18">
      <c r="B18" s="10" t="inlineStr">
        <is>
          <t>면 허</t>
        </is>
      </c>
      <c r="C18" s="9" t="inlineStr">
        <is>
          <t>실내건축공사업 · 전기공사업(제 울산-00821호)</t>
        </is>
      </c>
      <c r="D18" s="8" t="n"/>
      <c r="E18" s="8" t="n"/>
      <c r="F18" s="5" t="n"/>
    </row>
    <row r="20" ht="36" customHeight="1">
      <c r="B20" s="11" t="inlineStr">
        <is>
          <t>총 견적금액
(부가세 포함)</t>
        </is>
      </c>
      <c r="C20" s="12" t="inlineStr">
        <is>
          <t>일금 오천만원정</t>
        </is>
      </c>
      <c r="D20" s="13">
        <f>D45</f>
        <v/>
      </c>
      <c r="E20" s="8" t="n"/>
      <c r="F20" s="5" t="n"/>
    </row>
    <row r="21">
      <c r="B21" s="14">
        <f>"공급가액 "&amp;TEXT(D43,"#,##0")&amp;"원  +  부가가치세 "&amp;TEXT(D44,"#,##0")&amp;"원"</f>
        <v/>
      </c>
      <c r="C21" s="8" t="n"/>
      <c r="D21" s="8" t="n"/>
      <c r="E21" s="8" t="n"/>
      <c r="F21" s="5" t="n"/>
    </row>
    <row r="23">
      <c r="A23" s="15" t="inlineStr">
        <is>
          <t>아래와 같이 견적합니다.</t>
        </is>
      </c>
    </row>
    <row r="25">
      <c r="A25" s="3" t="inlineStr">
        <is>
          <t>No</t>
        </is>
      </c>
      <c r="B25" s="3" t="inlineStr">
        <is>
          <t>공 종</t>
        </is>
      </c>
      <c r="C25" s="3" t="inlineStr">
        <is>
          <t>주요 내용</t>
        </is>
      </c>
      <c r="D25" s="3" t="inlineStr">
        <is>
          <t>금액(원)</t>
        </is>
      </c>
      <c r="E25" s="3" t="inlineStr">
        <is>
          <t>구성비</t>
        </is>
      </c>
      <c r="F25" s="3" t="inlineStr">
        <is>
          <t>비 고</t>
        </is>
      </c>
    </row>
    <row r="26">
      <c r="A26" s="16" t="inlineStr">
        <is>
          <t>01</t>
        </is>
      </c>
      <c r="B26" s="17" t="inlineStr">
        <is>
          <t>가설·보양·철거공사</t>
        </is>
      </c>
      <c r="C26" s="18" t="inlineStr">
        <is>
          <t>공사신고·보양, 바닥·욕실·주방 철거, 폐기물 처리</t>
        </is>
      </c>
      <c r="D26" s="19">
        <f>'상세내역'!G17</f>
        <v/>
      </c>
      <c r="E26" s="20">
        <f>IF($D$39=0,0,D26/$D$39)</f>
        <v/>
      </c>
      <c r="F26" s="21" t="inlineStr"/>
    </row>
    <row r="27">
      <c r="A27" s="16" t="inlineStr">
        <is>
          <t>02</t>
        </is>
      </c>
      <c r="B27" s="17" t="inlineStr">
        <is>
          <t>설비공사</t>
        </is>
      </c>
      <c r="C27" s="18" t="inlineStr">
        <is>
          <t>배관 압력시험, 주방·세탁실·욕실 배관</t>
        </is>
      </c>
      <c r="D27" s="19">
        <f>'상세내역'!G23</f>
        <v/>
      </c>
      <c r="E27" s="20">
        <f>IF($D$39=0,0,D27/$D$39)</f>
        <v/>
      </c>
      <c r="F27" s="21" t="inlineStr"/>
    </row>
    <row r="28">
      <c r="A28" s="16" t="inlineStr">
        <is>
          <t>03</t>
        </is>
      </c>
      <c r="B28" s="17" t="inlineStr">
        <is>
          <t>목공사</t>
        </is>
      </c>
      <c r="C28" s="18" t="inlineStr">
        <is>
          <t>천장 평탄화, 무몰딩, 간접조명·커튼박스</t>
        </is>
      </c>
      <c r="D28" s="19">
        <f>'상세내역'!G32</f>
        <v/>
      </c>
      <c r="E28" s="20">
        <f>IF($D$39=0,0,D28/$D$39)</f>
        <v/>
      </c>
      <c r="F28" s="21" t="inlineStr"/>
    </row>
    <row r="29">
      <c r="A29" s="16" t="inlineStr">
        <is>
          <t>04</t>
        </is>
      </c>
      <c r="B29" s="17" t="inlineStr">
        <is>
          <t>전기·조명공사</t>
        </is>
      </c>
      <c r="C29" s="18" t="inlineStr">
        <is>
          <t>분전반·배선, 스위치·콘센트, LED 조명 (면허 직영)</t>
        </is>
      </c>
      <c r="D29" s="19">
        <f>'상세내역'!G44</f>
        <v/>
      </c>
      <c r="E29" s="20">
        <f>IF($D$39=0,0,D29/$D$39)</f>
        <v/>
      </c>
      <c r="F29" s="21" t="inlineStr">
        <is>
          <t>면허 직영</t>
        </is>
      </c>
    </row>
    <row r="30">
      <c r="A30" s="16" t="inlineStr">
        <is>
          <t>05</t>
        </is>
      </c>
      <c r="B30" s="17" t="inlineStr">
        <is>
          <t>욕실공사 (2개소)</t>
        </is>
      </c>
      <c r="C30" s="18" t="inlineStr">
        <is>
          <t>방수·타일·도기·수전·천장재 (공용·안방)</t>
        </is>
      </c>
      <c r="D30" s="19">
        <f>'상세내역'!G61</f>
        <v/>
      </c>
      <c r="E30" s="20">
        <f>IF($D$39=0,0,D30/$D$39)</f>
        <v/>
      </c>
      <c r="F30" s="21" t="inlineStr"/>
    </row>
    <row r="31">
      <c r="A31" s="16" t="inlineStr">
        <is>
          <t>06</t>
        </is>
      </c>
      <c r="B31" s="17" t="inlineStr">
        <is>
          <t>주방공사</t>
        </is>
      </c>
      <c r="C31" s="18" t="inlineStr">
        <is>
          <t>ㄱ자 싱크대·엔지니어드스톤 상판·후드·벽타일</t>
        </is>
      </c>
      <c r="D31" s="19">
        <f>'상세내역'!G73</f>
        <v/>
      </c>
      <c r="E31" s="20">
        <f>IF($D$39=0,0,D31/$D$39)</f>
        <v/>
      </c>
      <c r="F31" s="21" t="inlineStr"/>
    </row>
    <row r="32">
      <c r="A32" s="16" t="inlineStr">
        <is>
          <t>07</t>
        </is>
      </c>
      <c r="B32" s="17" t="inlineStr">
        <is>
          <t>바닥공사</t>
        </is>
      </c>
      <c r="C32" s="18" t="inlineStr">
        <is>
          <t>강마루 84㎡·레벨링·걸레받이</t>
        </is>
      </c>
      <c r="D32" s="19">
        <f>'상세내역'!G78</f>
        <v/>
      </c>
      <c r="E32" s="20">
        <f>IF($D$39=0,0,D32/$D$39)</f>
        <v/>
      </c>
      <c r="F32" s="21" t="inlineStr"/>
    </row>
    <row r="33">
      <c r="A33" s="16" t="inlineStr">
        <is>
          <t>08</t>
        </is>
      </c>
      <c r="B33" s="17" t="inlineStr">
        <is>
          <t>도배공사</t>
        </is>
      </c>
      <c r="C33" s="18" t="inlineStr">
        <is>
          <t>벽·천장 실크벽지</t>
        </is>
      </c>
      <c r="D33" s="19">
        <f>'상세내역'!G83</f>
        <v/>
      </c>
      <c r="E33" s="20">
        <f>IF($D$39=0,0,D33/$D$39)</f>
        <v/>
      </c>
      <c r="F33" s="21" t="inlineStr"/>
    </row>
    <row r="34">
      <c r="A34" s="16" t="inlineStr">
        <is>
          <t>09</t>
        </is>
      </c>
      <c r="B34" s="17" t="inlineStr">
        <is>
          <t>필름·도장공사</t>
        </is>
      </c>
      <c r="C34" s="18" t="inlineStr">
        <is>
          <t>방문·현관문 필름, 도어 하드웨어, 발코니 탄성코트</t>
        </is>
      </c>
      <c r="D34" s="19">
        <f>'상세내역'!G89</f>
        <v/>
      </c>
      <c r="E34" s="20">
        <f>IF($D$39=0,0,D34/$D$39)</f>
        <v/>
      </c>
      <c r="F34" s="21" t="inlineStr"/>
    </row>
    <row r="35">
      <c r="A35" s="16" t="inlineStr">
        <is>
          <t>10</t>
        </is>
      </c>
      <c r="B35" s="17" t="inlineStr">
        <is>
          <t>타일공사</t>
        </is>
      </c>
      <c r="C35" s="18" t="inlineStr">
        <is>
          <t>현관·세탁실·다용도실 바닥</t>
        </is>
      </c>
      <c r="D35" s="19">
        <f>'상세내역'!G94</f>
        <v/>
      </c>
      <c r="E35" s="20">
        <f>IF($D$39=0,0,D35/$D$39)</f>
        <v/>
      </c>
      <c r="F35" s="21" t="inlineStr"/>
    </row>
    <row r="36">
      <c r="A36" s="16" t="inlineStr">
        <is>
          <t>11</t>
        </is>
      </c>
      <c r="B36" s="17" t="inlineStr">
        <is>
          <t>중문공사</t>
        </is>
      </c>
      <c r="C36" s="18" t="inlineStr">
        <is>
          <t>현관 3연동 슬림 중문</t>
        </is>
      </c>
      <c r="D36" s="19">
        <f>'상세내역'!G97</f>
        <v/>
      </c>
      <c r="E36" s="20">
        <f>IF($D$39=0,0,D36/$D$39)</f>
        <v/>
      </c>
      <c r="F36" s="21" t="inlineStr"/>
    </row>
    <row r="37">
      <c r="A37" s="16" t="inlineStr">
        <is>
          <t>12</t>
        </is>
      </c>
      <c r="B37" s="17" t="inlineStr">
        <is>
          <t>가구공사</t>
        </is>
      </c>
      <c r="C37" s="18" t="inlineStr">
        <is>
          <t>현관 신발장, 안방 붙박이장</t>
        </is>
      </c>
      <c r="D37" s="19">
        <f>'상세내역'!G101</f>
        <v/>
      </c>
      <c r="E37" s="20">
        <f>IF($D$39=0,0,D37/$D$39)</f>
        <v/>
      </c>
      <c r="F37" s="21" t="inlineStr"/>
    </row>
    <row r="38">
      <c r="A38" s="16" t="inlineStr">
        <is>
          <t>13</t>
        </is>
      </c>
      <c r="B38" s="17" t="inlineStr">
        <is>
          <t>마감·청소</t>
        </is>
      </c>
      <c r="C38" s="18" t="inlineStr">
        <is>
          <t>실리콘, 입주청소, 준공 점검</t>
        </is>
      </c>
      <c r="D38" s="19">
        <f>'상세내역'!G106</f>
        <v/>
      </c>
      <c r="E38" s="20">
        <f>IF($D$39=0,0,D38/$D$39)</f>
        <v/>
      </c>
      <c r="F38" s="21" t="inlineStr"/>
    </row>
    <row r="39">
      <c r="A39" s="22" t="inlineStr"/>
      <c r="B39" s="23" t="inlineStr">
        <is>
          <t>직접공사비 계</t>
        </is>
      </c>
      <c r="C39" s="5" t="n"/>
      <c r="D39" s="24">
        <f>SUM(D26:D38)</f>
        <v/>
      </c>
      <c r="E39" s="25">
        <f>SUM(E26:E38)</f>
        <v/>
      </c>
      <c r="F39" s="26" t="inlineStr"/>
    </row>
    <row r="40">
      <c r="A40" s="9" t="inlineStr"/>
      <c r="B40" s="17" t="inlineStr">
        <is>
          <t>공과잡비·현장관리비  (소모자재·양중·주차·현장관리)</t>
        </is>
      </c>
      <c r="C40" s="5" t="n"/>
      <c r="D40" s="27">
        <f>ROUND(D39*E40,-3)</f>
        <v/>
      </c>
      <c r="E40" s="28" t="n">
        <v>0.05</v>
      </c>
      <c r="F40" s="21" t="inlineStr">
        <is>
          <t>직접공사비 × 요율</t>
        </is>
      </c>
    </row>
    <row r="41">
      <c r="A41" s="22" t="inlineStr"/>
      <c r="B41" s="23" t="inlineStr">
        <is>
          <t>소   계</t>
        </is>
      </c>
      <c r="C41" s="5" t="n"/>
      <c r="D41" s="24">
        <f>D39+D40</f>
        <v/>
      </c>
      <c r="E41" s="22" t="inlineStr"/>
      <c r="F41" s="26" t="inlineStr"/>
    </row>
    <row r="42">
      <c r="A42" s="9" t="inlineStr"/>
      <c r="B42" s="17" t="inlineStr">
        <is>
          <t>단수 정리</t>
        </is>
      </c>
      <c r="C42" s="5" t="n"/>
      <c r="D42" s="29" t="n">
        <v>-186455</v>
      </c>
      <c r="E42" s="9" t="inlineStr"/>
      <c r="F42" s="21" t="inlineStr"/>
    </row>
    <row r="43">
      <c r="A43" s="22" t="inlineStr"/>
      <c r="B43" s="23" t="inlineStr">
        <is>
          <t>공급가액</t>
        </is>
      </c>
      <c r="C43" s="5" t="n"/>
      <c r="D43" s="24">
        <f>D41+D42</f>
        <v/>
      </c>
      <c r="E43" s="22" t="inlineStr"/>
      <c r="F43" s="26" t="inlineStr"/>
    </row>
    <row r="44">
      <c r="A44" s="9" t="inlineStr"/>
      <c r="B44" s="17" t="inlineStr">
        <is>
          <t>부가가치세 (10%)</t>
        </is>
      </c>
      <c r="C44" s="5" t="n"/>
      <c r="D44" s="27">
        <f>ROUND(D43/10,0)</f>
        <v/>
      </c>
      <c r="E44" s="9" t="inlineStr"/>
      <c r="F44" s="21" t="inlineStr"/>
    </row>
    <row r="45">
      <c r="A45" s="30" t="inlineStr"/>
      <c r="B45" s="31" t="inlineStr">
        <is>
          <t>총 견적금액  (부가세 포함)</t>
        </is>
      </c>
      <c r="C45" s="5" t="n"/>
      <c r="D45" s="32">
        <f>D43+D44</f>
        <v/>
      </c>
      <c r="E45" s="30" t="inlineStr"/>
      <c r="F45" s="33" t="inlineStr"/>
    </row>
    <row r="47">
      <c r="A47" s="34" t="inlineStr">
        <is>
          <t>※ 파란 글씨 = 수정 가능한 입력값 (상세내역의 수량·단가, 요율, 단수 정리)  /  노란 칸 = 고객 정보 입력</t>
        </is>
      </c>
    </row>
    <row r="48">
      <c r="A48" s="34" t="inlineStr">
        <is>
          <t>※ 초록 글씨 = 상세내역 시트 소계를 끌어온 값 (직접 고치지 마세요)</t>
        </is>
      </c>
    </row>
    <row r="49">
      <c r="A49" s="34" t="inlineStr">
        <is>
          <t>※ 선택공사·공정표·결제 조건은 다음 시트에 있습니다.</t>
        </is>
      </c>
    </row>
  </sheetData>
  <mergeCells count="30">
    <mergeCell ref="C17:F17"/>
    <mergeCell ref="C8:F8"/>
    <mergeCell ref="C7:F7"/>
    <mergeCell ref="A12:F12"/>
    <mergeCell ref="B43:C43"/>
    <mergeCell ref="C4:D4"/>
    <mergeCell ref="C13:F13"/>
    <mergeCell ref="A2:F2"/>
    <mergeCell ref="E4:F4"/>
    <mergeCell ref="C18:F18"/>
    <mergeCell ref="B21:F21"/>
    <mergeCell ref="B39:C39"/>
    <mergeCell ref="A47:F47"/>
    <mergeCell ref="A23:F23"/>
    <mergeCell ref="B42:C42"/>
    <mergeCell ref="C6:F6"/>
    <mergeCell ref="C15:F15"/>
    <mergeCell ref="C5:F5"/>
    <mergeCell ref="C14:F14"/>
    <mergeCell ref="B44:C44"/>
    <mergeCell ref="C16:F16"/>
    <mergeCell ref="B40:C40"/>
    <mergeCell ref="C10:F10"/>
    <mergeCell ref="A48:F48"/>
    <mergeCell ref="D20:F20"/>
    <mergeCell ref="C9:F9"/>
    <mergeCell ref="A49:F49"/>
    <mergeCell ref="A1:F1"/>
    <mergeCell ref="B45:C45"/>
    <mergeCell ref="B41:C41"/>
  </mergeCells>
  <printOptions horizontalCentered="1"/>
  <pageMargins left="0.4" right="0.4" top="0.5" bottom="0.5" header="0.5" footer="0.5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6" customWidth="1" min="3" max="3"/>
    <col width="6" customWidth="1" min="4" max="4"/>
    <col width="8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35" t="inlineStr">
        <is>
          <t>상 세  내 역 서</t>
        </is>
      </c>
    </row>
    <row r="2" ht="28" customHeight="1">
      <c r="A2" s="34" t="inlineStr">
        <is>
          <t>산출 기준 — 확장형 32평형 · 천장고 2.3m · 마루 84㎡(약 25.4평) · 벽 도배 210㎡ · 천장 도배 86㎡ · 욕실 2개소(공용=욕조형, 안방=샤워부스형) · 샷시(창호)는 기존 유지</t>
        </is>
      </c>
    </row>
    <row r="3">
      <c r="A3" s="36" t="inlineStr">
        <is>
          <t>단가 = 자재비 + 시공비 + 운반비 포함.  파란 글씨(수량·단가)를 고치면 금액·소계·견적서 합계가 자동으로 바뀝니다.</t>
        </is>
      </c>
    </row>
    <row r="4">
      <c r="A4" s="3" t="inlineStr">
        <is>
          <t>No</t>
        </is>
      </c>
      <c r="B4" s="3" t="inlineStr">
        <is>
          <t>품 명</t>
        </is>
      </c>
      <c r="C4" s="3" t="inlineStr">
        <is>
          <t>규격 · 사양</t>
        </is>
      </c>
      <c r="D4" s="3" t="inlineStr">
        <is>
          <t>단위</t>
        </is>
      </c>
      <c r="E4" s="3" t="inlineStr">
        <is>
          <t>수량</t>
        </is>
      </c>
      <c r="F4" s="3" t="inlineStr">
        <is>
          <t>단가(원)</t>
        </is>
      </c>
      <c r="G4" s="3" t="inlineStr">
        <is>
          <t>금액(원)</t>
        </is>
      </c>
      <c r="H4" s="3" t="inlineStr">
        <is>
          <t>비 고</t>
        </is>
      </c>
    </row>
    <row r="5">
      <c r="A5" s="10" t="inlineStr">
        <is>
          <t>01</t>
        </is>
      </c>
      <c r="B5" s="37" t="inlineStr">
        <is>
          <t>가설·보양·철거공사</t>
        </is>
      </c>
      <c r="C5" s="8" t="n"/>
      <c r="D5" s="8" t="n"/>
      <c r="E5" s="8" t="n"/>
      <c r="F5" s="8" t="n"/>
      <c r="G5" s="8" t="n"/>
      <c r="H5" s="5" t="n"/>
    </row>
    <row r="6">
      <c r="A6" s="14" t="inlineStr">
        <is>
          <t>01-01</t>
        </is>
      </c>
      <c r="B6" s="9" t="inlineStr">
        <is>
          <t>실측·디자인 상담</t>
        </is>
      </c>
      <c r="C6" s="18" t="inlineStr">
        <is>
          <t>평면 레이아웃·자재 샘플 컨펌, 착공 전 2회</t>
        </is>
      </c>
      <c r="D6" s="16" t="inlineStr">
        <is>
          <t>식</t>
        </is>
      </c>
      <c r="E6" s="38" t="n">
        <v>1</v>
      </c>
      <c r="F6" s="39" t="n">
        <v>0</v>
      </c>
      <c r="G6" s="40">
        <f>ROUND(E6*F6,0)</f>
        <v/>
      </c>
      <c r="H6" s="18" t="inlineStr">
        <is>
          <t>무상 제공</t>
        </is>
      </c>
    </row>
    <row r="7">
      <c r="A7" s="14" t="inlineStr">
        <is>
          <t>01-02</t>
        </is>
      </c>
      <c r="B7" s="9" t="inlineStr">
        <is>
          <t>공사 신고·입주민 동의</t>
        </is>
      </c>
      <c r="C7" s="18" t="inlineStr">
        <is>
          <t>관리사무소 공사신고, 동의서 징구, 안내문 게시</t>
        </is>
      </c>
      <c r="D7" s="16" t="inlineStr">
        <is>
          <t>식</t>
        </is>
      </c>
      <c r="E7" s="38" t="n">
        <v>1</v>
      </c>
      <c r="F7" s="39" t="n">
        <v>0</v>
      </c>
      <c r="G7" s="40">
        <f>ROUND(E7*F7,0)</f>
        <v/>
      </c>
      <c r="H7" s="18" t="inlineStr">
        <is>
          <t>무상 대행</t>
        </is>
      </c>
    </row>
    <row r="8">
      <c r="A8" s="14" t="inlineStr">
        <is>
          <t>01-03</t>
        </is>
      </c>
      <c r="B8" s="9" t="inlineStr">
        <is>
          <t>엘리베이터·공용부 보양</t>
        </is>
      </c>
      <c r="C8" s="18" t="inlineStr">
        <is>
          <t>EV 내부 보양재, 복도·세대 앞 바닥 보호</t>
        </is>
      </c>
      <c r="D8" s="16" t="inlineStr">
        <is>
          <t>식</t>
        </is>
      </c>
      <c r="E8" s="38" t="n">
        <v>1</v>
      </c>
      <c r="F8" s="39" t="n">
        <v>280000</v>
      </c>
      <c r="G8" s="40">
        <f>ROUND(E8*F8,0)</f>
        <v/>
      </c>
      <c r="H8" s="18" t="inlineStr"/>
    </row>
    <row r="9">
      <c r="A9" s="14" t="inlineStr">
        <is>
          <t>01-04</t>
        </is>
      </c>
      <c r="B9" s="9" t="inlineStr">
        <is>
          <t>실내 보양</t>
        </is>
      </c>
      <c r="C9" s="18" t="inlineStr">
        <is>
          <t>샷시·창호·현관문·유지 설비 보양(PE폼·골판지)</t>
        </is>
      </c>
      <c r="D9" s="16" t="inlineStr">
        <is>
          <t>식</t>
        </is>
      </c>
      <c r="E9" s="38" t="n">
        <v>1</v>
      </c>
      <c r="F9" s="39" t="n">
        <v>300000</v>
      </c>
      <c r="G9" s="40">
        <f>ROUND(E9*F9,0)</f>
        <v/>
      </c>
      <c r="H9" s="18" t="inlineStr"/>
    </row>
    <row r="10">
      <c r="A10" s="14" t="inlineStr">
        <is>
          <t>01-05</t>
        </is>
      </c>
      <c r="B10" s="9" t="inlineStr">
        <is>
          <t>바닥재 철거</t>
        </is>
      </c>
      <c r="C10" s="18" t="inlineStr">
        <is>
          <t>기존 강마루 철거, 바닥 본드 그라인딩</t>
        </is>
      </c>
      <c r="D10" s="16" t="inlineStr">
        <is>
          <t>㎡</t>
        </is>
      </c>
      <c r="E10" s="38" t="n">
        <v>84</v>
      </c>
      <c r="F10" s="39" t="n">
        <v>9500</v>
      </c>
      <c r="G10" s="40">
        <f>ROUND(E10*F10,0)</f>
        <v/>
      </c>
      <c r="H10" s="18" t="inlineStr"/>
    </row>
    <row r="11">
      <c r="A11" s="14" t="inlineStr">
        <is>
          <t>01-06</t>
        </is>
      </c>
      <c r="B11" s="9" t="inlineStr">
        <is>
          <t>욕실 철거</t>
        </is>
      </c>
      <c r="C11" s="18" t="inlineStr">
        <is>
          <t>벽·바닥 타일, 도기, 천장재, 욕조 철거</t>
        </is>
      </c>
      <c r="D11" s="16" t="inlineStr">
        <is>
          <t>개소</t>
        </is>
      </c>
      <c r="E11" s="38" t="n">
        <v>2</v>
      </c>
      <c r="F11" s="39" t="n">
        <v>480000</v>
      </c>
      <c r="G11" s="40">
        <f>ROUND(E11*F11,0)</f>
        <v/>
      </c>
      <c r="H11" s="18" t="inlineStr">
        <is>
          <t>공용·안방</t>
        </is>
      </c>
    </row>
    <row r="12">
      <c r="A12" s="14" t="inlineStr">
        <is>
          <t>01-07</t>
        </is>
      </c>
      <c r="B12" s="9" t="inlineStr">
        <is>
          <t>주방가구 철거</t>
        </is>
      </c>
      <c r="C12" s="18" t="inlineStr">
        <is>
          <t>상·하부장, 상판, 후드</t>
        </is>
      </c>
      <c r="D12" s="16" t="inlineStr">
        <is>
          <t>식</t>
        </is>
      </c>
      <c r="E12" s="38" t="n">
        <v>1</v>
      </c>
      <c r="F12" s="39" t="n">
        <v>200000</v>
      </c>
      <c r="G12" s="40">
        <f>ROUND(E12*F12,0)</f>
        <v/>
      </c>
      <c r="H12" s="18" t="inlineStr"/>
    </row>
    <row r="13">
      <c r="A13" s="14" t="inlineStr">
        <is>
          <t>01-08</t>
        </is>
      </c>
      <c r="B13" s="9" t="inlineStr">
        <is>
          <t>몰딩·문선·걸레받이 철거</t>
        </is>
      </c>
      <c r="C13" s="18" t="inlineStr">
        <is>
          <t>무몰딩 마감 대비 전 실</t>
        </is>
      </c>
      <c r="D13" s="16" t="inlineStr">
        <is>
          <t>식</t>
        </is>
      </c>
      <c r="E13" s="38" t="n">
        <v>1</v>
      </c>
      <c r="F13" s="39" t="n">
        <v>220000</v>
      </c>
      <c r="G13" s="40">
        <f>ROUND(E13*F13,0)</f>
        <v/>
      </c>
      <c r="H13" s="18" t="inlineStr"/>
    </row>
    <row r="14">
      <c r="A14" s="14" t="inlineStr">
        <is>
          <t>01-09</t>
        </is>
      </c>
      <c r="B14" s="9" t="inlineStr">
        <is>
          <t>신발장·붙박이장 철거</t>
        </is>
      </c>
      <c r="C14" s="18" t="inlineStr">
        <is>
          <t>현관 신발장, 안방 붙박이장</t>
        </is>
      </c>
      <c r="D14" s="16" t="inlineStr">
        <is>
          <t>식</t>
        </is>
      </c>
      <c r="E14" s="38" t="n">
        <v>1</v>
      </c>
      <c r="F14" s="39" t="n">
        <v>150000</v>
      </c>
      <c r="G14" s="40">
        <f>ROUND(E14*F14,0)</f>
        <v/>
      </c>
      <c r="H14" s="18" t="inlineStr"/>
    </row>
    <row r="15">
      <c r="A15" s="14" t="inlineStr">
        <is>
          <t>01-10</t>
        </is>
      </c>
      <c r="B15" s="9" t="inlineStr">
        <is>
          <t>현관 바닥 타일 철거</t>
        </is>
      </c>
      <c r="C15" s="18" t="inlineStr">
        <is>
          <t>기존 타일·몰탈 제거</t>
        </is>
      </c>
      <c r="D15" s="16" t="inlineStr">
        <is>
          <t>식</t>
        </is>
      </c>
      <c r="E15" s="38" t="n">
        <v>1</v>
      </c>
      <c r="F15" s="39" t="n">
        <v>80000</v>
      </c>
      <c r="G15" s="40">
        <f>ROUND(E15*F15,0)</f>
        <v/>
      </c>
      <c r="H15" s="18" t="inlineStr"/>
    </row>
    <row r="16">
      <c r="A16" s="14" t="inlineStr">
        <is>
          <t>01-11</t>
        </is>
      </c>
      <c r="B16" s="9" t="inlineStr">
        <is>
          <t>폐기물 반출·처리</t>
        </is>
      </c>
      <c r="C16" s="18" t="inlineStr">
        <is>
          <t>1톤 차량, 허가 처리업체 위탁</t>
        </is>
      </c>
      <c r="D16" s="16" t="inlineStr">
        <is>
          <t>대</t>
        </is>
      </c>
      <c r="E16" s="38" t="n">
        <v>3</v>
      </c>
      <c r="F16" s="39" t="n">
        <v>280000</v>
      </c>
      <c r="G16" s="40">
        <f>ROUND(E16*F16,0)</f>
        <v/>
      </c>
      <c r="H16" s="18" t="inlineStr"/>
    </row>
    <row r="17">
      <c r="A17" s="41" t="inlineStr">
        <is>
          <t>가설·보양·철거공사  소계</t>
        </is>
      </c>
      <c r="B17" s="8" t="n"/>
      <c r="C17" s="8" t="n"/>
      <c r="D17" s="8" t="n"/>
      <c r="E17" s="8" t="n"/>
      <c r="F17" s="5" t="n"/>
      <c r="G17" s="24">
        <f>SUM(G6:G16)</f>
        <v/>
      </c>
      <c r="H17" s="22" t="inlineStr"/>
    </row>
    <row r="18">
      <c r="A18" s="10" t="inlineStr">
        <is>
          <t>02</t>
        </is>
      </c>
      <c r="B18" s="37" t="inlineStr">
        <is>
          <t>설비공사</t>
        </is>
      </c>
      <c r="C18" s="8" t="n"/>
      <c r="D18" s="8" t="n"/>
      <c r="E18" s="8" t="n"/>
      <c r="F18" s="8" t="n"/>
      <c r="G18" s="8" t="n"/>
      <c r="H18" s="5" t="n"/>
    </row>
    <row r="19">
      <c r="A19" s="14" t="inlineStr">
        <is>
          <t>02-01</t>
        </is>
      </c>
      <c r="B19" s="9" t="inlineStr">
        <is>
          <t>급수·난방 배관 압력시험</t>
        </is>
      </c>
      <c r="C19" s="18" t="inlineStr">
        <is>
          <t>철거 후 누수 점검, 결과 사진 보고</t>
        </is>
      </c>
      <c r="D19" s="16" t="inlineStr">
        <is>
          <t>식</t>
        </is>
      </c>
      <c r="E19" s="38" t="n">
        <v>1</v>
      </c>
      <c r="F19" s="39" t="n">
        <v>100000</v>
      </c>
      <c r="G19" s="40">
        <f>ROUND(E19*F19,0)</f>
        <v/>
      </c>
      <c r="H19" s="18" t="inlineStr"/>
    </row>
    <row r="20">
      <c r="A20" s="14" t="inlineStr">
        <is>
          <t>02-02</t>
        </is>
      </c>
      <c r="B20" s="9" t="inlineStr">
        <is>
          <t>주방 급·배수 배관 정리</t>
        </is>
      </c>
      <c r="C20" s="18" t="inlineStr">
        <is>
          <t>싱크 위치 기준 냉·온수·배수 연장</t>
        </is>
      </c>
      <c r="D20" s="16" t="inlineStr">
        <is>
          <t>식</t>
        </is>
      </c>
      <c r="E20" s="38" t="n">
        <v>1</v>
      </c>
      <c r="F20" s="39" t="n">
        <v>350000</v>
      </c>
      <c r="G20" s="40">
        <f>ROUND(E20*F20,0)</f>
        <v/>
      </c>
      <c r="H20" s="18" t="inlineStr"/>
    </row>
    <row r="21">
      <c r="A21" s="14" t="inlineStr">
        <is>
          <t>02-03</t>
        </is>
      </c>
      <c r="B21" s="9" t="inlineStr">
        <is>
          <t>세탁실 수전·배수 교체</t>
        </is>
      </c>
      <c r="C21" s="18" t="inlineStr">
        <is>
          <t>세탁기 전용 수전, 배수트랩</t>
        </is>
      </c>
      <c r="D21" s="16" t="inlineStr">
        <is>
          <t>식</t>
        </is>
      </c>
      <c r="E21" s="38" t="n">
        <v>1</v>
      </c>
      <c r="F21" s="39" t="n">
        <v>150000</v>
      </c>
      <c r="G21" s="40">
        <f>ROUND(E21*F21,0)</f>
        <v/>
      </c>
      <c r="H21" s="18" t="inlineStr"/>
    </row>
    <row r="22">
      <c r="A22" s="14" t="inlineStr">
        <is>
          <t>02-04</t>
        </is>
      </c>
      <c r="B22" s="9" t="inlineStr">
        <is>
          <t>욕실 배관 부분 교체</t>
        </is>
      </c>
      <c r="C22" s="18" t="inlineStr">
        <is>
          <t>노후 급수 분기관·배수트랩 교체</t>
        </is>
      </c>
      <c r="D22" s="16" t="inlineStr">
        <is>
          <t>개소</t>
        </is>
      </c>
      <c r="E22" s="38" t="n">
        <v>2</v>
      </c>
      <c r="F22" s="39" t="n">
        <v>120000</v>
      </c>
      <c r="G22" s="40">
        <f>ROUND(E22*F22,0)</f>
        <v/>
      </c>
      <c r="H22" s="18" t="inlineStr"/>
    </row>
    <row r="23">
      <c r="A23" s="41" t="inlineStr">
        <is>
          <t>설비공사  소계</t>
        </is>
      </c>
      <c r="B23" s="8" t="n"/>
      <c r="C23" s="8" t="n"/>
      <c r="D23" s="8" t="n"/>
      <c r="E23" s="8" t="n"/>
      <c r="F23" s="5" t="n"/>
      <c r="G23" s="24">
        <f>SUM(G19:G22)</f>
        <v/>
      </c>
      <c r="H23" s="22" t="inlineStr"/>
    </row>
    <row r="24">
      <c r="A24" s="10" t="inlineStr">
        <is>
          <t>03</t>
        </is>
      </c>
      <c r="B24" s="37" t="inlineStr">
        <is>
          <t>목공사</t>
        </is>
      </c>
      <c r="C24" s="8" t="n"/>
      <c r="D24" s="8" t="n"/>
      <c r="E24" s="8" t="n"/>
      <c r="F24" s="8" t="n"/>
      <c r="G24" s="8" t="n"/>
      <c r="H24" s="5" t="n"/>
    </row>
    <row r="25">
      <c r="A25" s="14" t="inlineStr">
        <is>
          <t>03-01</t>
        </is>
      </c>
      <c r="B25" s="9" t="inlineStr">
        <is>
          <t>천장 평탄화·보강</t>
        </is>
      </c>
      <c r="C25" s="18" t="inlineStr">
        <is>
          <t>거실·주방, 석고보드 9.5T 덧방 + 각재 보강</t>
        </is>
      </c>
      <c r="D25" s="16" t="inlineStr">
        <is>
          <t>㎡</t>
        </is>
      </c>
      <c r="E25" s="38" t="n">
        <v>40</v>
      </c>
      <c r="F25" s="39" t="n">
        <v>30000</v>
      </c>
      <c r="G25" s="40">
        <f>ROUND(E25*F25,0)</f>
        <v/>
      </c>
      <c r="H25" s="18" t="inlineStr"/>
    </row>
    <row r="26">
      <c r="A26" s="14" t="inlineStr">
        <is>
          <t>03-02</t>
        </is>
      </c>
      <c r="B26" s="9" t="inlineStr">
        <is>
          <t>무몰딩 마감</t>
        </is>
      </c>
      <c r="C26" s="18" t="inlineStr">
        <is>
          <t>전 실 천장-벽 경계, 마감비드 + 퍼티</t>
        </is>
      </c>
      <c r="D26" s="16" t="inlineStr">
        <is>
          <t>m</t>
        </is>
      </c>
      <c r="E26" s="38" t="n">
        <v>95</v>
      </c>
      <c r="F26" s="39" t="n">
        <v>10000</v>
      </c>
      <c r="G26" s="40">
        <f>ROUND(E26*F26,0)</f>
        <v/>
      </c>
      <c r="H26" s="18" t="inlineStr"/>
    </row>
    <row r="27">
      <c r="A27" s="14" t="inlineStr">
        <is>
          <t>03-03</t>
        </is>
      </c>
      <c r="B27" s="9" t="inlineStr">
        <is>
          <t>거실 우물천장 간접조명 박스</t>
        </is>
      </c>
      <c r="C27" s="18" t="inlineStr">
        <is>
          <t>각재 + 석고보드 2겹, LED 매입 홈</t>
        </is>
      </c>
      <c r="D27" s="16" t="inlineStr">
        <is>
          <t>m</t>
        </is>
      </c>
      <c r="E27" s="38" t="n">
        <v>18</v>
      </c>
      <c r="F27" s="39" t="n">
        <v>55000</v>
      </c>
      <c r="G27" s="40">
        <f>ROUND(E27*F27,0)</f>
        <v/>
      </c>
      <c r="H27" s="18" t="inlineStr"/>
    </row>
    <row r="28">
      <c r="A28" s="14" t="inlineStr">
        <is>
          <t>03-04</t>
        </is>
      </c>
      <c r="B28" s="9" t="inlineStr">
        <is>
          <t>매입형 커튼박스</t>
        </is>
      </c>
      <c r="C28" s="18" t="inlineStr">
        <is>
          <t>W150, 거실·안방·침실2·침실3</t>
        </is>
      </c>
      <c r="D28" s="16" t="inlineStr">
        <is>
          <t>m</t>
        </is>
      </c>
      <c r="E28" s="38" t="n">
        <v>14</v>
      </c>
      <c r="F28" s="39" t="n">
        <v>48000</v>
      </c>
      <c r="G28" s="40">
        <f>ROUND(E28*F28,0)</f>
        <v/>
      </c>
      <c r="H28" s="18" t="inlineStr">
        <is>
          <t>전동커튼 대응</t>
        </is>
      </c>
    </row>
    <row r="29">
      <c r="A29" s="14" t="inlineStr">
        <is>
          <t>03-05</t>
        </is>
      </c>
      <c r="B29" s="9" t="inlineStr">
        <is>
          <t>슬림 문선 교체</t>
        </is>
      </c>
      <c r="C29" s="18" t="inlineStr">
        <is>
          <t>방문 5·욕실 2, 무문선 스타일</t>
        </is>
      </c>
      <c r="D29" s="16" t="inlineStr">
        <is>
          <t>개소</t>
        </is>
      </c>
      <c r="E29" s="38" t="n">
        <v>7</v>
      </c>
      <c r="F29" s="39" t="n">
        <v>65000</v>
      </c>
      <c r="G29" s="40">
        <f>ROUND(E29*F29,0)</f>
        <v/>
      </c>
      <c r="H29" s="18" t="inlineStr"/>
    </row>
    <row r="30">
      <c r="A30" s="14" t="inlineStr">
        <is>
          <t>03-06</t>
        </is>
      </c>
      <c r="B30" s="9" t="inlineStr">
        <is>
          <t>주방 상부 막음·가구 하지</t>
        </is>
      </c>
      <c r="C30" s="18" t="inlineStr">
        <is>
          <t>상부장 상단 막음, 후드 덕트 마감</t>
        </is>
      </c>
      <c r="D30" s="16" t="inlineStr">
        <is>
          <t>식</t>
        </is>
      </c>
      <c r="E30" s="38" t="n">
        <v>1</v>
      </c>
      <c r="F30" s="39" t="n">
        <v>250000</v>
      </c>
      <c r="G30" s="40">
        <f>ROUND(E30*F30,0)</f>
        <v/>
      </c>
      <c r="H30" s="18" t="inlineStr"/>
    </row>
    <row r="31">
      <c r="A31" s="14" t="inlineStr">
        <is>
          <t>03-07</t>
        </is>
      </c>
      <c r="B31" s="9" t="inlineStr">
        <is>
          <t>목공 부자재·양중</t>
        </is>
      </c>
      <c r="C31" s="18" t="inlineStr">
        <is>
          <t>타카·본드·자재 운반</t>
        </is>
      </c>
      <c r="D31" s="16" t="inlineStr">
        <is>
          <t>식</t>
        </is>
      </c>
      <c r="E31" s="38" t="n">
        <v>1</v>
      </c>
      <c r="F31" s="39" t="n">
        <v>200000</v>
      </c>
      <c r="G31" s="40">
        <f>ROUND(E31*F31,0)</f>
        <v/>
      </c>
      <c r="H31" s="18" t="inlineStr"/>
    </row>
    <row r="32">
      <c r="A32" s="41" t="inlineStr">
        <is>
          <t>목공사  소계</t>
        </is>
      </c>
      <c r="B32" s="8" t="n"/>
      <c r="C32" s="8" t="n"/>
      <c r="D32" s="8" t="n"/>
      <c r="E32" s="8" t="n"/>
      <c r="F32" s="5" t="n"/>
      <c r="G32" s="24">
        <f>SUM(G25:G31)</f>
        <v/>
      </c>
      <c r="H32" s="22" t="inlineStr"/>
    </row>
    <row r="33">
      <c r="A33" s="10" t="inlineStr">
        <is>
          <t>04</t>
        </is>
      </c>
      <c r="B33" s="37" t="inlineStr">
        <is>
          <t>전기·조명공사</t>
        </is>
      </c>
      <c r="C33" s="8" t="n"/>
      <c r="D33" s="8" t="n"/>
      <c r="E33" s="8" t="n"/>
      <c r="F33" s="8" t="n"/>
      <c r="G33" s="8" t="n"/>
      <c r="H33" s="5" t="n"/>
    </row>
    <row r="34">
      <c r="A34" s="14" t="inlineStr">
        <is>
          <t>04-01</t>
        </is>
      </c>
      <c r="B34" s="9" t="inlineStr">
        <is>
          <t>분전반 정비</t>
        </is>
      </c>
      <c r="C34" s="18" t="inlineStr">
        <is>
          <t>메인 누전차단기 교체, 분기 회로 재배분</t>
        </is>
      </c>
      <c r="D34" s="16" t="inlineStr">
        <is>
          <t>식</t>
        </is>
      </c>
      <c r="E34" s="38" t="n">
        <v>1</v>
      </c>
      <c r="F34" s="39" t="n">
        <v>420000</v>
      </c>
      <c r="G34" s="40">
        <f>ROUND(E34*F34,0)</f>
        <v/>
      </c>
      <c r="H34" s="18" t="inlineStr"/>
    </row>
    <row r="35">
      <c r="A35" s="14" t="inlineStr">
        <is>
          <t>04-02</t>
        </is>
      </c>
      <c r="B35" s="9" t="inlineStr">
        <is>
          <t>배선 증설·교체</t>
        </is>
      </c>
      <c r="C35" s="18" t="inlineStr">
        <is>
          <t>인덕션 전용회로 신설, 조명 회로 분리</t>
        </is>
      </c>
      <c r="D35" s="16" t="inlineStr">
        <is>
          <t>식</t>
        </is>
      </c>
      <c r="E35" s="38" t="n">
        <v>1</v>
      </c>
      <c r="F35" s="39" t="n">
        <v>550000</v>
      </c>
      <c r="G35" s="40">
        <f>ROUND(E35*F35,0)</f>
        <v/>
      </c>
      <c r="H35" s="18" t="inlineStr"/>
    </row>
    <row r="36">
      <c r="A36" s="14" t="inlineStr">
        <is>
          <t>04-03</t>
        </is>
      </c>
      <c r="B36" s="9" t="inlineStr">
        <is>
          <t>스위치·콘센트 전체 교체</t>
        </is>
      </c>
      <c r="C36" s="18" t="inlineStr">
        <is>
          <t>와이드 스위치, 매입 콘센트(USB형 일부)</t>
        </is>
      </c>
      <c r="D36" s="16" t="inlineStr">
        <is>
          <t>개</t>
        </is>
      </c>
      <c r="E36" s="38" t="n">
        <v>56</v>
      </c>
      <c r="F36" s="39" t="n">
        <v>19000</v>
      </c>
      <c r="G36" s="40">
        <f>ROUND(E36*F36,0)</f>
        <v/>
      </c>
      <c r="H36" s="18" t="inlineStr"/>
    </row>
    <row r="37">
      <c r="A37" s="14" t="inlineStr">
        <is>
          <t>04-04</t>
        </is>
      </c>
      <c r="B37" s="9" t="inlineStr">
        <is>
          <t>LED 다운라이트</t>
        </is>
      </c>
      <c r="C37" s="18" t="inlineStr">
        <is>
          <t>3인치 매입형 10W, 색온도 선택(3000K/4000K), 타공·결선</t>
        </is>
      </c>
      <c r="D37" s="16" t="inlineStr">
        <is>
          <t>개</t>
        </is>
      </c>
      <c r="E37" s="38" t="n">
        <v>30</v>
      </c>
      <c r="F37" s="39" t="n">
        <v>40000</v>
      </c>
      <c r="G37" s="40">
        <f>ROUND(E37*F37,0)</f>
        <v/>
      </c>
      <c r="H37" s="18" t="inlineStr"/>
    </row>
    <row r="38">
      <c r="A38" s="14" t="inlineStr">
        <is>
          <t>04-05</t>
        </is>
      </c>
      <c r="B38" s="9" t="inlineStr">
        <is>
          <t>LED 간접 라인조명</t>
        </is>
      </c>
      <c r="C38" s="18" t="inlineStr">
        <is>
          <t>거실 우물천장, 현관 신발장 하부</t>
        </is>
      </c>
      <c r="D38" s="16" t="inlineStr">
        <is>
          <t>m</t>
        </is>
      </c>
      <c r="E38" s="38" t="n">
        <v>20</v>
      </c>
      <c r="F38" s="39" t="n">
        <v>28000</v>
      </c>
      <c r="G38" s="40">
        <f>ROUND(E38*F38,0)</f>
        <v/>
      </c>
      <c r="H38" s="18" t="inlineStr"/>
    </row>
    <row r="39">
      <c r="A39" s="14" t="inlineStr">
        <is>
          <t>04-06</t>
        </is>
      </c>
      <c r="B39" s="9" t="inlineStr">
        <is>
          <t>침실 LED 방등</t>
        </is>
      </c>
      <c r="C39" s="18" t="inlineStr">
        <is>
          <t>슬림 엣지형 50W</t>
        </is>
      </c>
      <c r="D39" s="16" t="inlineStr">
        <is>
          <t>개</t>
        </is>
      </c>
      <c r="E39" s="38" t="n">
        <v>3</v>
      </c>
      <c r="F39" s="39" t="n">
        <v>90000</v>
      </c>
      <c r="G39" s="40">
        <f>ROUND(E39*F39,0)</f>
        <v/>
      </c>
      <c r="H39" s="18" t="inlineStr"/>
    </row>
    <row r="40">
      <c r="A40" s="14" t="inlineStr">
        <is>
          <t>04-07</t>
        </is>
      </c>
      <c r="B40" s="9" t="inlineStr">
        <is>
          <t>식탁 펜던트 조명</t>
        </is>
      </c>
      <c r="C40" s="18" t="inlineStr">
        <is>
          <t>2등, 결선 포함</t>
        </is>
      </c>
      <c r="D40" s="16" t="inlineStr">
        <is>
          <t>식</t>
        </is>
      </c>
      <c r="E40" s="38" t="n">
        <v>1</v>
      </c>
      <c r="F40" s="39" t="n">
        <v>250000</v>
      </c>
      <c r="G40" s="40">
        <f>ROUND(E40*F40,0)</f>
        <v/>
      </c>
      <c r="H40" s="18" t="inlineStr"/>
    </row>
    <row r="41">
      <c r="A41" s="14" t="inlineStr">
        <is>
          <t>04-08</t>
        </is>
      </c>
      <c r="B41" s="9" t="inlineStr">
        <is>
          <t>현관 센서 다운라이트</t>
        </is>
      </c>
      <c r="C41" s="18" t="inlineStr">
        <is>
          <t>동작감지 센서형</t>
        </is>
      </c>
      <c r="D41" s="16" t="inlineStr">
        <is>
          <t>개</t>
        </is>
      </c>
      <c r="E41" s="38" t="n">
        <v>2</v>
      </c>
      <c r="F41" s="39" t="n">
        <v>45000</v>
      </c>
      <c r="G41" s="40">
        <f>ROUND(E41*F41,0)</f>
        <v/>
      </c>
      <c r="H41" s="18" t="inlineStr"/>
    </row>
    <row r="42">
      <c r="A42" s="14" t="inlineStr">
        <is>
          <t>04-09</t>
        </is>
      </c>
      <c r="B42" s="9" t="inlineStr">
        <is>
          <t>전동커튼 전원 인출</t>
        </is>
      </c>
      <c r="C42" s="18" t="inlineStr">
        <is>
          <t>커튼박스 내 콘센트 (거실·안방)</t>
        </is>
      </c>
      <c r="D42" s="16" t="inlineStr">
        <is>
          <t>개소</t>
        </is>
      </c>
      <c r="E42" s="38" t="n">
        <v>2</v>
      </c>
      <c r="F42" s="39" t="n">
        <v>55000</v>
      </c>
      <c r="G42" s="40">
        <f>ROUND(E42*F42,0)</f>
        <v/>
      </c>
      <c r="H42" s="18" t="inlineStr"/>
    </row>
    <row r="43">
      <c r="A43" s="14" t="inlineStr">
        <is>
          <t>04-10</t>
        </is>
      </c>
      <c r="B43" s="9" t="inlineStr">
        <is>
          <t>준공 전기 안전점검</t>
        </is>
      </c>
      <c r="C43" s="18" t="inlineStr">
        <is>
          <t>절연저항 측정, 점검 결과 제공</t>
        </is>
      </c>
      <c r="D43" s="16" t="inlineStr">
        <is>
          <t>식</t>
        </is>
      </c>
      <c r="E43" s="38" t="n">
        <v>1</v>
      </c>
      <c r="F43" s="39" t="n">
        <v>0</v>
      </c>
      <c r="G43" s="40">
        <f>ROUND(E43*F43,0)</f>
        <v/>
      </c>
      <c r="H43" s="18" t="inlineStr">
        <is>
          <t>무상 제공</t>
        </is>
      </c>
    </row>
    <row r="44">
      <c r="A44" s="41" t="inlineStr">
        <is>
          <t>전기·조명공사  소계</t>
        </is>
      </c>
      <c r="B44" s="8" t="n"/>
      <c r="C44" s="8" t="n"/>
      <c r="D44" s="8" t="n"/>
      <c r="E44" s="8" t="n"/>
      <c r="F44" s="5" t="n"/>
      <c r="G44" s="24">
        <f>SUM(G34:G43)</f>
        <v/>
      </c>
      <c r="H44" s="22" t="inlineStr"/>
    </row>
    <row r="45">
      <c r="A45" s="10" t="inlineStr">
        <is>
          <t>05</t>
        </is>
      </c>
      <c r="B45" s="37" t="inlineStr">
        <is>
          <t>욕실공사 (2개소)</t>
        </is>
      </c>
      <c r="C45" s="8" t="n"/>
      <c r="D45" s="8" t="n"/>
      <c r="E45" s="8" t="n"/>
      <c r="F45" s="8" t="n"/>
      <c r="G45" s="8" t="n"/>
      <c r="H45" s="5" t="n"/>
    </row>
    <row r="46">
      <c r="A46" s="14" t="inlineStr">
        <is>
          <t>05-01</t>
        </is>
      </c>
      <c r="B46" s="9" t="inlineStr">
        <is>
          <t>방수</t>
        </is>
      </c>
      <c r="C46" s="18" t="inlineStr">
        <is>
          <t>바닥 + 벽 H1200(샤워부 H1800), 액체방수 2회</t>
        </is>
      </c>
      <c r="D46" s="16" t="inlineStr">
        <is>
          <t>개소</t>
        </is>
      </c>
      <c r="E46" s="38" t="n">
        <v>2</v>
      </c>
      <c r="F46" s="39" t="n">
        <v>380000</v>
      </c>
      <c r="G46" s="40">
        <f>ROUND(E46*F46,0)</f>
        <v/>
      </c>
      <c r="H46" s="18" t="inlineStr"/>
    </row>
    <row r="47">
      <c r="A47" s="14" t="inlineStr">
        <is>
          <t>05-02</t>
        </is>
      </c>
      <c r="B47" s="9" t="inlineStr">
        <is>
          <t>담수 테스트</t>
        </is>
      </c>
      <c r="C47" s="18" t="inlineStr">
        <is>
          <t>48시간, 결과 사진·영상 보고</t>
        </is>
      </c>
      <c r="D47" s="16" t="inlineStr">
        <is>
          <t>개소</t>
        </is>
      </c>
      <c r="E47" s="38" t="n">
        <v>2</v>
      </c>
      <c r="F47" s="39" t="n">
        <v>0</v>
      </c>
      <c r="G47" s="40">
        <f>ROUND(E47*F47,0)</f>
        <v/>
      </c>
      <c r="H47" s="18" t="inlineStr">
        <is>
          <t>무상 제공</t>
        </is>
      </c>
    </row>
    <row r="48">
      <c r="A48" s="14" t="inlineStr">
        <is>
          <t>05-03</t>
        </is>
      </c>
      <c r="B48" s="9" t="inlineStr">
        <is>
          <t>바닥 미장·구배</t>
        </is>
      </c>
      <c r="C48" s="18" t="inlineStr">
        <is>
          <t>배수구 방향 물매 잡기</t>
        </is>
      </c>
      <c r="D48" s="16" t="inlineStr">
        <is>
          <t>개소</t>
        </is>
      </c>
      <c r="E48" s="38" t="n">
        <v>2</v>
      </c>
      <c r="F48" s="39" t="n">
        <v>180000</v>
      </c>
      <c r="G48" s="40">
        <f>ROUND(E48*F48,0)</f>
        <v/>
      </c>
      <c r="H48" s="18" t="inlineStr"/>
    </row>
    <row r="49">
      <c r="A49" s="14" t="inlineStr">
        <is>
          <t>05-04</t>
        </is>
      </c>
      <c r="B49" s="9" t="inlineStr">
        <is>
          <t>벽 타일</t>
        </is>
      </c>
      <c r="C49" s="18" t="inlineStr">
        <is>
          <t>포세린 600×300, 압착 시공</t>
        </is>
      </c>
      <c r="D49" s="16" t="inlineStr">
        <is>
          <t>㎡</t>
        </is>
      </c>
      <c r="E49" s="38" t="n">
        <v>32</v>
      </c>
      <c r="F49" s="39" t="n">
        <v>58000</v>
      </c>
      <c r="G49" s="40">
        <f>ROUND(E49*F49,0)</f>
        <v/>
      </c>
      <c r="H49" s="18" t="inlineStr"/>
    </row>
    <row r="50">
      <c r="A50" s="14" t="inlineStr">
        <is>
          <t>05-05</t>
        </is>
      </c>
      <c r="B50" s="9" t="inlineStr">
        <is>
          <t>바닥 타일</t>
        </is>
      </c>
      <c r="C50" s="18" t="inlineStr">
        <is>
          <t>포세린 300×300 논슬립</t>
        </is>
      </c>
      <c r="D50" s="16" t="inlineStr">
        <is>
          <t>㎡</t>
        </is>
      </c>
      <c r="E50" s="38" t="n">
        <v>6.5</v>
      </c>
      <c r="F50" s="39" t="n">
        <v>62000</v>
      </c>
      <c r="G50" s="40">
        <f>ROUND(E50*F50,0)</f>
        <v/>
      </c>
      <c r="H50" s="18" t="inlineStr"/>
    </row>
    <row r="51">
      <c r="A51" s="14" t="inlineStr">
        <is>
          <t>05-06</t>
        </is>
      </c>
      <c r="B51" s="9" t="inlineStr">
        <is>
          <t>욕실 천장재</t>
        </is>
      </c>
      <c r="C51" s="18" t="inlineStr">
        <is>
          <t>ABS 평천장 + 점검구</t>
        </is>
      </c>
      <c r="D51" s="16" t="inlineStr">
        <is>
          <t>개소</t>
        </is>
      </c>
      <c r="E51" s="38" t="n">
        <v>2</v>
      </c>
      <c r="F51" s="39" t="n">
        <v>280000</v>
      </c>
      <c r="G51" s="40">
        <f>ROUND(E51*F51,0)</f>
        <v/>
      </c>
      <c r="H51" s="18" t="inlineStr"/>
    </row>
    <row r="52">
      <c r="A52" s="14" t="inlineStr">
        <is>
          <t>05-07</t>
        </is>
      </c>
      <c r="B52" s="9" t="inlineStr">
        <is>
          <t>양변기</t>
        </is>
      </c>
      <c r="C52" s="18" t="inlineStr">
        <is>
          <t>원피스·절수형 (대림바스·아메리칸스탠다드 동급)</t>
        </is>
      </c>
      <c r="D52" s="16" t="inlineStr">
        <is>
          <t>개</t>
        </is>
      </c>
      <c r="E52" s="38" t="n">
        <v>2</v>
      </c>
      <c r="F52" s="39" t="n">
        <v>330000</v>
      </c>
      <c r="G52" s="40">
        <f>ROUND(E52*F52,0)</f>
        <v/>
      </c>
      <c r="H52" s="18" t="inlineStr"/>
    </row>
    <row r="53">
      <c r="A53" s="14" t="inlineStr">
        <is>
          <t>05-08</t>
        </is>
      </c>
      <c r="B53" s="9" t="inlineStr">
        <is>
          <t>세면대</t>
        </is>
      </c>
      <c r="C53" s="18" t="inlineStr">
        <is>
          <t>공용=하부장 일체형 / 안방=반다리형</t>
        </is>
      </c>
      <c r="D53" s="16" t="inlineStr">
        <is>
          <t>개</t>
        </is>
      </c>
      <c r="E53" s="38" t="n">
        <v>2</v>
      </c>
      <c r="F53" s="39" t="n">
        <v>300000</v>
      </c>
      <c r="G53" s="40">
        <f>ROUND(E53*F53,0)</f>
        <v/>
      </c>
      <c r="H53" s="18" t="inlineStr"/>
    </row>
    <row r="54">
      <c r="A54" s="14" t="inlineStr">
        <is>
          <t>05-09</t>
        </is>
      </c>
      <c r="B54" s="9" t="inlineStr">
        <is>
          <t>수전 세트</t>
        </is>
      </c>
      <c r="C54" s="18" t="inlineStr">
        <is>
          <t>해바라기 샤워수전 + 세면수전</t>
        </is>
      </c>
      <c r="D54" s="16" t="inlineStr">
        <is>
          <t>세트</t>
        </is>
      </c>
      <c r="E54" s="38" t="n">
        <v>2</v>
      </c>
      <c r="F54" s="39" t="n">
        <v>280000</v>
      </c>
      <c r="G54" s="40">
        <f>ROUND(E54*F54,0)</f>
        <v/>
      </c>
      <c r="H54" s="18" t="inlineStr"/>
    </row>
    <row r="55">
      <c r="A55" s="14" t="inlineStr">
        <is>
          <t>05-10</t>
        </is>
      </c>
      <c r="B55" s="9" t="inlineStr">
        <is>
          <t>욕조</t>
        </is>
      </c>
      <c r="C55" s="18" t="inlineStr">
        <is>
          <t>아크릴 1500 (공용욕실)</t>
        </is>
      </c>
      <c r="D55" s="16" t="inlineStr">
        <is>
          <t>개</t>
        </is>
      </c>
      <c r="E55" s="38" t="n">
        <v>1</v>
      </c>
      <c r="F55" s="39" t="n">
        <v>380000</v>
      </c>
      <c r="G55" s="40">
        <f>ROUND(E55*F55,0)</f>
        <v/>
      </c>
      <c r="H55" s="18" t="inlineStr"/>
    </row>
    <row r="56">
      <c r="A56" s="14" t="inlineStr">
        <is>
          <t>05-11</t>
        </is>
      </c>
      <c r="B56" s="9" t="inlineStr">
        <is>
          <t>샤워 파티션</t>
        </is>
      </c>
      <c r="C56" s="18" t="inlineStr">
        <is>
          <t>강화유리 8T (안방욕실)</t>
        </is>
      </c>
      <c r="D56" s="16" t="inlineStr">
        <is>
          <t>개</t>
        </is>
      </c>
      <c r="E56" s="38" t="n">
        <v>1</v>
      </c>
      <c r="F56" s="39" t="n">
        <v>450000</v>
      </c>
      <c r="G56" s="40">
        <f>ROUND(E56*F56,0)</f>
        <v/>
      </c>
      <c r="H56" s="18" t="inlineStr"/>
    </row>
    <row r="57">
      <c r="A57" s="14" t="inlineStr">
        <is>
          <t>05-12</t>
        </is>
      </c>
      <c r="B57" s="9" t="inlineStr">
        <is>
          <t>욕실장</t>
        </is>
      </c>
      <c r="C57" s="18" t="inlineStr">
        <is>
          <t>슬라이딩 거울 수납장</t>
        </is>
      </c>
      <c r="D57" s="16" t="inlineStr">
        <is>
          <t>개</t>
        </is>
      </c>
      <c r="E57" s="38" t="n">
        <v>2</v>
      </c>
      <c r="F57" s="39" t="n">
        <v>220000</v>
      </c>
      <c r="G57" s="40">
        <f>ROUND(E57*F57,0)</f>
        <v/>
      </c>
      <c r="H57" s="18" t="inlineStr"/>
    </row>
    <row r="58">
      <c r="A58" s="14" t="inlineStr">
        <is>
          <t>05-13</t>
        </is>
      </c>
      <c r="B58" s="9" t="inlineStr">
        <is>
          <t>환풍기·매입등</t>
        </is>
      </c>
      <c r="C58" s="18" t="inlineStr">
        <is>
          <t>저소음 역류방지 환풍기 + 방습 매입등</t>
        </is>
      </c>
      <c r="D58" s="16" t="inlineStr">
        <is>
          <t>개소</t>
        </is>
      </c>
      <c r="E58" s="38" t="n">
        <v>2</v>
      </c>
      <c r="F58" s="39" t="n">
        <v>140000</v>
      </c>
      <c r="G58" s="40">
        <f>ROUND(E58*F58,0)</f>
        <v/>
      </c>
      <c r="H58" s="18" t="inlineStr"/>
    </row>
    <row r="59">
      <c r="A59" s="14" t="inlineStr">
        <is>
          <t>05-14</t>
        </is>
      </c>
      <c r="B59" s="9" t="inlineStr">
        <is>
          <t>젠다이·문턱</t>
        </is>
      </c>
      <c r="C59" s="18" t="inlineStr">
        <is>
          <t>인조대리석</t>
        </is>
      </c>
      <c r="D59" s="16" t="inlineStr">
        <is>
          <t>개소</t>
        </is>
      </c>
      <c r="E59" s="38" t="n">
        <v>2</v>
      </c>
      <c r="F59" s="39" t="n">
        <v>120000</v>
      </c>
      <c r="G59" s="40">
        <f>ROUND(E59*F59,0)</f>
        <v/>
      </c>
      <c r="H59" s="18" t="inlineStr"/>
    </row>
    <row r="60">
      <c r="A60" s="14" t="inlineStr">
        <is>
          <t>05-15</t>
        </is>
      </c>
      <c r="B60" s="9" t="inlineStr">
        <is>
          <t>욕실 액세서리</t>
        </is>
      </c>
      <c r="C60" s="18" t="inlineStr">
        <is>
          <t>수건걸이·휴지걸이·코너선반</t>
        </is>
      </c>
      <c r="D60" s="16" t="inlineStr">
        <is>
          <t>세트</t>
        </is>
      </c>
      <c r="E60" s="38" t="n">
        <v>2</v>
      </c>
      <c r="F60" s="39" t="n">
        <v>70000</v>
      </c>
      <c r="G60" s="40">
        <f>ROUND(E60*F60,0)</f>
        <v/>
      </c>
      <c r="H60" s="18" t="inlineStr"/>
    </row>
    <row r="61">
      <c r="A61" s="41" t="inlineStr">
        <is>
          <t>욕실공사 (2개소)  소계</t>
        </is>
      </c>
      <c r="B61" s="8" t="n"/>
      <c r="C61" s="8" t="n"/>
      <c r="D61" s="8" t="n"/>
      <c r="E61" s="8" t="n"/>
      <c r="F61" s="5" t="n"/>
      <c r="G61" s="24">
        <f>SUM(G46:G60)</f>
        <v/>
      </c>
      <c r="H61" s="22" t="inlineStr"/>
    </row>
    <row r="62">
      <c r="A62" s="10" t="inlineStr">
        <is>
          <t>06</t>
        </is>
      </c>
      <c r="B62" s="37" t="inlineStr">
        <is>
          <t>주방공사</t>
        </is>
      </c>
      <c r="C62" s="8" t="n"/>
      <c r="D62" s="8" t="n"/>
      <c r="E62" s="8" t="n"/>
      <c r="F62" s="8" t="n"/>
      <c r="G62" s="8" t="n"/>
      <c r="H62" s="5" t="n"/>
    </row>
    <row r="63">
      <c r="A63" s="14" t="inlineStr">
        <is>
          <t>06-01</t>
        </is>
      </c>
      <c r="B63" s="9" t="inlineStr">
        <is>
          <t>하부장</t>
        </is>
      </c>
      <c r="C63" s="18" t="inlineStr">
        <is>
          <t>ㄱ자 3.0m + 1.8m, PET 무광 도어, E0 PB, 댐핑 힌지·레일</t>
        </is>
      </c>
      <c r="D63" s="16" t="inlineStr">
        <is>
          <t>m</t>
        </is>
      </c>
      <c r="E63" s="38" t="n">
        <v>4.8</v>
      </c>
      <c r="F63" s="39" t="n">
        <v>280000</v>
      </c>
      <c r="G63" s="40">
        <f>ROUND(E63*F63,0)</f>
        <v/>
      </c>
      <c r="H63" s="18" t="inlineStr"/>
    </row>
    <row r="64">
      <c r="A64" s="14" t="inlineStr">
        <is>
          <t>06-02</t>
        </is>
      </c>
      <c r="B64" s="9" t="inlineStr">
        <is>
          <t>상부장</t>
        </is>
      </c>
      <c r="C64" s="18" t="inlineStr">
        <is>
          <t>PET 무광, 여닫이(일부 플랩)</t>
        </is>
      </c>
      <c r="D64" s="16" t="inlineStr">
        <is>
          <t>m</t>
        </is>
      </c>
      <c r="E64" s="38" t="n">
        <v>3</v>
      </c>
      <c r="F64" s="39" t="n">
        <v>230000</v>
      </c>
      <c r="G64" s="40">
        <f>ROUND(E64*F64,0)</f>
        <v/>
      </c>
      <c r="H64" s="18" t="inlineStr"/>
    </row>
    <row r="65">
      <c r="A65" s="14" t="inlineStr">
        <is>
          <t>06-03</t>
        </is>
      </c>
      <c r="B65" s="9" t="inlineStr">
        <is>
          <t>키큰장</t>
        </is>
      </c>
      <c r="C65" s="18" t="inlineStr">
        <is>
          <t>냉장고장 하우징 포함</t>
        </is>
      </c>
      <c r="D65" s="16" t="inlineStr">
        <is>
          <t>m</t>
        </is>
      </c>
      <c r="E65" s="38" t="n">
        <v>1.2</v>
      </c>
      <c r="F65" s="39" t="n">
        <v>480000</v>
      </c>
      <c r="G65" s="40">
        <f>ROUND(E65*F65,0)</f>
        <v/>
      </c>
      <c r="H65" s="18" t="inlineStr"/>
    </row>
    <row r="66">
      <c r="A66" s="14" t="inlineStr">
        <is>
          <t>06-04</t>
        </is>
      </c>
      <c r="B66" s="9" t="inlineStr">
        <is>
          <t>상판</t>
        </is>
      </c>
      <c r="C66" s="18" t="inlineStr">
        <is>
          <t>엔지니어드스톤 12T</t>
        </is>
      </c>
      <c r="D66" s="16" t="inlineStr">
        <is>
          <t>m</t>
        </is>
      </c>
      <c r="E66" s="38" t="n">
        <v>4.8</v>
      </c>
      <c r="F66" s="39" t="n">
        <v>260000</v>
      </c>
      <c r="G66" s="40">
        <f>ROUND(E66*F66,0)</f>
        <v/>
      </c>
      <c r="H66" s="18" t="inlineStr"/>
    </row>
    <row r="67">
      <c r="A67" s="14" t="inlineStr">
        <is>
          <t>06-05</t>
        </is>
      </c>
      <c r="B67" s="9" t="inlineStr">
        <is>
          <t>싱크볼</t>
        </is>
      </c>
      <c r="C67" s="18" t="inlineStr">
        <is>
          <t>사각 언더싱크 850, 스테인리스 엠보</t>
        </is>
      </c>
      <c r="D67" s="16" t="inlineStr">
        <is>
          <t>개</t>
        </is>
      </c>
      <c r="E67" s="38" t="n">
        <v>1</v>
      </c>
      <c r="F67" s="39" t="n">
        <v>220000</v>
      </c>
      <c r="G67" s="40">
        <f>ROUND(E67*F67,0)</f>
        <v/>
      </c>
      <c r="H67" s="18" t="inlineStr"/>
    </row>
    <row r="68">
      <c r="A68" s="14" t="inlineStr">
        <is>
          <t>06-06</t>
        </is>
      </c>
      <c r="B68" s="9" t="inlineStr">
        <is>
          <t>주방 수전</t>
        </is>
      </c>
      <c r="C68" s="18" t="inlineStr">
        <is>
          <t>거위목 풀아웃형</t>
        </is>
      </c>
      <c r="D68" s="16" t="inlineStr">
        <is>
          <t>개</t>
        </is>
      </c>
      <c r="E68" s="38" t="n">
        <v>1</v>
      </c>
      <c r="F68" s="39" t="n">
        <v>150000</v>
      </c>
      <c r="G68" s="40">
        <f>ROUND(E68*F68,0)</f>
        <v/>
      </c>
      <c r="H68" s="18" t="inlineStr"/>
    </row>
    <row r="69">
      <c r="A69" s="14" t="inlineStr">
        <is>
          <t>06-07</t>
        </is>
      </c>
      <c r="B69" s="9" t="inlineStr">
        <is>
          <t>레인지 후드</t>
        </is>
      </c>
      <c r="C69" s="18" t="inlineStr">
        <is>
          <t>슬림형, 역류방지 댐퍼</t>
        </is>
      </c>
      <c r="D69" s="16" t="inlineStr">
        <is>
          <t>개</t>
        </is>
      </c>
      <c r="E69" s="38" t="n">
        <v>1</v>
      </c>
      <c r="F69" s="39" t="n">
        <v>280000</v>
      </c>
      <c r="G69" s="40">
        <f>ROUND(E69*F69,0)</f>
        <v/>
      </c>
      <c r="H69" s="18" t="inlineStr"/>
    </row>
    <row r="70">
      <c r="A70" s="14" t="inlineStr">
        <is>
          <t>06-08</t>
        </is>
      </c>
      <c r="B70" s="9" t="inlineStr">
        <is>
          <t>주방 벽 타일</t>
        </is>
      </c>
      <c r="C70" s="18" t="inlineStr">
        <is>
          <t>포세린 600×300</t>
        </is>
      </c>
      <c r="D70" s="16" t="inlineStr">
        <is>
          <t>㎡</t>
        </is>
      </c>
      <c r="E70" s="38" t="n">
        <v>6</v>
      </c>
      <c r="F70" s="39" t="n">
        <v>75000</v>
      </c>
      <c r="G70" s="40">
        <f>ROUND(E70*F70,0)</f>
        <v/>
      </c>
      <c r="H70" s="18" t="inlineStr"/>
    </row>
    <row r="71">
      <c r="A71" s="14" t="inlineStr">
        <is>
          <t>06-09</t>
        </is>
      </c>
      <c r="B71" s="9" t="inlineStr">
        <is>
          <t>상부장 하부 LED</t>
        </is>
      </c>
      <c r="C71" s="18" t="inlineStr">
        <is>
          <t>언더캐비닛 라인조명</t>
        </is>
      </c>
      <c r="D71" s="16" t="inlineStr">
        <is>
          <t>m</t>
        </is>
      </c>
      <c r="E71" s="38" t="n">
        <v>3</v>
      </c>
      <c r="F71" s="39" t="n">
        <v>30000</v>
      </c>
      <c r="G71" s="40">
        <f>ROUND(E71*F71,0)</f>
        <v/>
      </c>
      <c r="H71" s="18" t="inlineStr"/>
    </row>
    <row r="72">
      <c r="A72" s="14" t="inlineStr">
        <is>
          <t>06-10</t>
        </is>
      </c>
      <c r="B72" s="9" t="inlineStr">
        <is>
          <t>하드웨어·부자재</t>
        </is>
      </c>
      <c r="C72" s="18" t="inlineStr">
        <is>
          <t>손잡이, 걸레받이, 조절발</t>
        </is>
      </c>
      <c r="D72" s="16" t="inlineStr">
        <is>
          <t>식</t>
        </is>
      </c>
      <c r="E72" s="38" t="n">
        <v>1</v>
      </c>
      <c r="F72" s="39" t="n">
        <v>150000</v>
      </c>
      <c r="G72" s="40">
        <f>ROUND(E72*F72,0)</f>
        <v/>
      </c>
      <c r="H72" s="18" t="inlineStr"/>
    </row>
    <row r="73">
      <c r="A73" s="41" t="inlineStr">
        <is>
          <t>주방공사  소계</t>
        </is>
      </c>
      <c r="B73" s="8" t="n"/>
      <c r="C73" s="8" t="n"/>
      <c r="D73" s="8" t="n"/>
      <c r="E73" s="8" t="n"/>
      <c r="F73" s="5" t="n"/>
      <c r="G73" s="24">
        <f>SUM(G63:G72)</f>
        <v/>
      </c>
      <c r="H73" s="22" t="inlineStr"/>
    </row>
    <row r="74">
      <c r="A74" s="10" t="inlineStr">
        <is>
          <t>07</t>
        </is>
      </c>
      <c r="B74" s="37" t="inlineStr">
        <is>
          <t>바닥공사</t>
        </is>
      </c>
      <c r="C74" s="8" t="n"/>
      <c r="D74" s="8" t="n"/>
      <c r="E74" s="8" t="n"/>
      <c r="F74" s="8" t="n"/>
      <c r="G74" s="8" t="n"/>
      <c r="H74" s="5" t="n"/>
    </row>
    <row r="75">
      <c r="A75" s="14" t="inlineStr">
        <is>
          <t>07-01</t>
        </is>
      </c>
      <c r="B75" s="9" t="inlineStr">
        <is>
          <t>강마루</t>
        </is>
      </c>
      <c r="C75" s="18" t="inlineStr">
        <is>
          <t>7.5T, LX Z:IN·동화자연마루 동급, 본드 접착</t>
        </is>
      </c>
      <c r="D75" s="16" t="inlineStr">
        <is>
          <t>㎡</t>
        </is>
      </c>
      <c r="E75" s="38" t="n">
        <v>84</v>
      </c>
      <c r="F75" s="39" t="n">
        <v>45000</v>
      </c>
      <c r="G75" s="40">
        <f>ROUND(E75*F75,0)</f>
        <v/>
      </c>
      <c r="H75" s="18" t="inlineStr">
        <is>
          <t>약 25.4평</t>
        </is>
      </c>
    </row>
    <row r="76">
      <c r="A76" s="14" t="inlineStr">
        <is>
          <t>07-02</t>
        </is>
      </c>
      <c r="B76" s="9" t="inlineStr">
        <is>
          <t>바닥 레벨링 보수</t>
        </is>
      </c>
      <c r="C76" s="18" t="inlineStr">
        <is>
          <t>부분 셀프레벨링, 크랙 보수</t>
        </is>
      </c>
      <c r="D76" s="16" t="inlineStr">
        <is>
          <t>식</t>
        </is>
      </c>
      <c r="E76" s="38" t="n">
        <v>1</v>
      </c>
      <c r="F76" s="39" t="n">
        <v>250000</v>
      </c>
      <c r="G76" s="40">
        <f>ROUND(E76*F76,0)</f>
        <v/>
      </c>
      <c r="H76" s="18" t="inlineStr"/>
    </row>
    <row r="77">
      <c r="A77" s="14" t="inlineStr">
        <is>
          <t>07-03</t>
        </is>
      </c>
      <c r="B77" s="9" t="inlineStr">
        <is>
          <t>걸레받이</t>
        </is>
      </c>
      <c r="C77" s="18" t="inlineStr">
        <is>
          <t>PVC 60mm (마루 동색 또는 화이트)</t>
        </is>
      </c>
      <c r="D77" s="16" t="inlineStr">
        <is>
          <t>m</t>
        </is>
      </c>
      <c r="E77" s="38" t="n">
        <v>95</v>
      </c>
      <c r="F77" s="39" t="n">
        <v>6000</v>
      </c>
      <c r="G77" s="40">
        <f>ROUND(E77*F77,0)</f>
        <v/>
      </c>
      <c r="H77" s="18" t="inlineStr"/>
    </row>
    <row r="78">
      <c r="A78" s="41" t="inlineStr">
        <is>
          <t>바닥공사  소계</t>
        </is>
      </c>
      <c r="B78" s="8" t="n"/>
      <c r="C78" s="8" t="n"/>
      <c r="D78" s="8" t="n"/>
      <c r="E78" s="8" t="n"/>
      <c r="F78" s="5" t="n"/>
      <c r="G78" s="24">
        <f>SUM(G75:G77)</f>
        <v/>
      </c>
      <c r="H78" s="22" t="inlineStr"/>
    </row>
    <row r="79">
      <c r="A79" s="10" t="inlineStr">
        <is>
          <t>08</t>
        </is>
      </c>
      <c r="B79" s="37" t="inlineStr">
        <is>
          <t>도배공사</t>
        </is>
      </c>
      <c r="C79" s="8" t="n"/>
      <c r="D79" s="8" t="n"/>
      <c r="E79" s="8" t="n"/>
      <c r="F79" s="8" t="n"/>
      <c r="G79" s="8" t="n"/>
      <c r="H79" s="5" t="n"/>
    </row>
    <row r="80">
      <c r="A80" s="14" t="inlineStr">
        <is>
          <t>08-01</t>
        </is>
      </c>
      <c r="B80" s="9" t="inlineStr">
        <is>
          <t>벽 실크벽지</t>
        </is>
      </c>
      <c r="C80" s="18" t="inlineStr">
        <is>
          <t>LX·신한벽지 동급, 초배 포함</t>
        </is>
      </c>
      <c r="D80" s="16" t="inlineStr">
        <is>
          <t>㎡</t>
        </is>
      </c>
      <c r="E80" s="38" t="n">
        <v>210</v>
      </c>
      <c r="F80" s="39" t="n">
        <v>12500</v>
      </c>
      <c r="G80" s="40">
        <f>ROUND(E80*F80,0)</f>
        <v/>
      </c>
      <c r="H80" s="18" t="inlineStr"/>
    </row>
    <row r="81">
      <c r="A81" s="14" t="inlineStr">
        <is>
          <t>08-02</t>
        </is>
      </c>
      <c r="B81" s="9" t="inlineStr">
        <is>
          <t>천장 실크벽지</t>
        </is>
      </c>
      <c r="C81" s="18" t="inlineStr">
        <is>
          <t>전 실 천장</t>
        </is>
      </c>
      <c r="D81" s="16" t="inlineStr">
        <is>
          <t>㎡</t>
        </is>
      </c>
      <c r="E81" s="38" t="n">
        <v>86</v>
      </c>
      <c r="F81" s="39" t="n">
        <v>14000</v>
      </c>
      <c r="G81" s="40">
        <f>ROUND(E81*F81,0)</f>
        <v/>
      </c>
      <c r="H81" s="18" t="inlineStr"/>
    </row>
    <row r="82">
      <c r="A82" s="14" t="inlineStr">
        <is>
          <t>08-03</t>
        </is>
      </c>
      <c r="B82" s="9" t="inlineStr">
        <is>
          <t>부분 퍼티·초배</t>
        </is>
      </c>
      <c r="C82" s="18" t="inlineStr">
        <is>
          <t>무몰딩 경계, 석고보드 이음부</t>
        </is>
      </c>
      <c r="D82" s="16" t="inlineStr">
        <is>
          <t>식</t>
        </is>
      </c>
      <c r="E82" s="38" t="n">
        <v>1</v>
      </c>
      <c r="F82" s="39" t="n">
        <v>200000</v>
      </c>
      <c r="G82" s="40">
        <f>ROUND(E82*F82,0)</f>
        <v/>
      </c>
      <c r="H82" s="18" t="inlineStr"/>
    </row>
    <row r="83">
      <c r="A83" s="41" t="inlineStr">
        <is>
          <t>도배공사  소계</t>
        </is>
      </c>
      <c r="B83" s="8" t="n"/>
      <c r="C83" s="8" t="n"/>
      <c r="D83" s="8" t="n"/>
      <c r="E83" s="8" t="n"/>
      <c r="F83" s="5" t="n"/>
      <c r="G83" s="24">
        <f>SUM(G80:G82)</f>
        <v/>
      </c>
      <c r="H83" s="22" t="inlineStr"/>
    </row>
    <row r="84">
      <c r="A84" s="10" t="inlineStr">
        <is>
          <t>09</t>
        </is>
      </c>
      <c r="B84" s="37" t="inlineStr">
        <is>
          <t>필름·도장공사</t>
        </is>
      </c>
      <c r="C84" s="8" t="n"/>
      <c r="D84" s="8" t="n"/>
      <c r="E84" s="8" t="n"/>
      <c r="F84" s="8" t="n"/>
      <c r="G84" s="8" t="n"/>
      <c r="H84" s="5" t="n"/>
    </row>
    <row r="85">
      <c r="A85" s="14" t="inlineStr">
        <is>
          <t>09-01</t>
        </is>
      </c>
      <c r="B85" s="9" t="inlineStr">
        <is>
          <t>방문·문틀 인테리어필름</t>
        </is>
      </c>
      <c r="C85" s="18" t="inlineStr">
        <is>
          <t>LX 베니프 동급, 방문 5 · 욕실 2</t>
        </is>
      </c>
      <c r="D85" s="16" t="inlineStr">
        <is>
          <t>세트</t>
        </is>
      </c>
      <c r="E85" s="38" t="n">
        <v>7</v>
      </c>
      <c r="F85" s="39" t="n">
        <v>230000</v>
      </c>
      <c r="G85" s="40">
        <f>ROUND(E85*F85,0)</f>
        <v/>
      </c>
      <c r="H85" s="18" t="inlineStr"/>
    </row>
    <row r="86">
      <c r="A86" s="14" t="inlineStr">
        <is>
          <t>09-02</t>
        </is>
      </c>
      <c r="B86" s="9" t="inlineStr">
        <is>
          <t>현관문 내측 필름</t>
        </is>
      </c>
      <c r="C86" s="18" t="inlineStr">
        <is>
          <t>문짝 + 문틀</t>
        </is>
      </c>
      <c r="D86" s="16" t="inlineStr">
        <is>
          <t>세트</t>
        </is>
      </c>
      <c r="E86" s="38" t="n">
        <v>1</v>
      </c>
      <c r="F86" s="39" t="n">
        <v>280000</v>
      </c>
      <c r="G86" s="40">
        <f>ROUND(E86*F86,0)</f>
        <v/>
      </c>
      <c r="H86" s="18" t="inlineStr"/>
    </row>
    <row r="87">
      <c r="A87" s="14" t="inlineStr">
        <is>
          <t>09-03</t>
        </is>
      </c>
      <c r="B87" s="9" t="inlineStr">
        <is>
          <t>도어 하드웨어 교체</t>
        </is>
      </c>
      <c r="C87" s="18" t="inlineStr">
        <is>
          <t>레버 손잡이·경첩·도어스토퍼</t>
        </is>
      </c>
      <c r="D87" s="16" t="inlineStr">
        <is>
          <t>세트</t>
        </is>
      </c>
      <c r="E87" s="38" t="n">
        <v>7</v>
      </c>
      <c r="F87" s="39" t="n">
        <v>45000</v>
      </c>
      <c r="G87" s="40">
        <f>ROUND(E87*F87,0)</f>
        <v/>
      </c>
      <c r="H87" s="18" t="inlineStr"/>
    </row>
    <row r="88">
      <c r="A88" s="14" t="inlineStr">
        <is>
          <t>09-04</t>
        </is>
      </c>
      <c r="B88" s="9" t="inlineStr">
        <is>
          <t>발코니 탄성코트</t>
        </is>
      </c>
      <c r="C88" s="18" t="inlineStr">
        <is>
          <t>세탁실·다용도실·안방 발코니, 곰팡이 제거 포함</t>
        </is>
      </c>
      <c r="D88" s="16" t="inlineStr">
        <is>
          <t>개소</t>
        </is>
      </c>
      <c r="E88" s="38" t="n">
        <v>3</v>
      </c>
      <c r="F88" s="39" t="n">
        <v>200000</v>
      </c>
      <c r="G88" s="40">
        <f>ROUND(E88*F88,0)</f>
        <v/>
      </c>
      <c r="H88" s="18" t="inlineStr"/>
    </row>
    <row r="89">
      <c r="A89" s="41" t="inlineStr">
        <is>
          <t>필름·도장공사  소계</t>
        </is>
      </c>
      <c r="B89" s="8" t="n"/>
      <c r="C89" s="8" t="n"/>
      <c r="D89" s="8" t="n"/>
      <c r="E89" s="8" t="n"/>
      <c r="F89" s="5" t="n"/>
      <c r="G89" s="24">
        <f>SUM(G85:G88)</f>
        <v/>
      </c>
      <c r="H89" s="22" t="inlineStr"/>
    </row>
    <row r="90">
      <c r="A90" s="10" t="inlineStr">
        <is>
          <t>10</t>
        </is>
      </c>
      <c r="B90" s="37" t="inlineStr">
        <is>
          <t>타일공사</t>
        </is>
      </c>
      <c r="C90" s="8" t="n"/>
      <c r="D90" s="8" t="n"/>
      <c r="E90" s="8" t="n"/>
      <c r="F90" s="8" t="n"/>
      <c r="G90" s="8" t="n"/>
      <c r="H90" s="5" t="n"/>
    </row>
    <row r="91">
      <c r="A91" s="14" t="inlineStr">
        <is>
          <t>10-01</t>
        </is>
      </c>
      <c r="B91" s="9" t="inlineStr">
        <is>
          <t>현관 바닥 타일</t>
        </is>
      </c>
      <c r="C91" s="18" t="inlineStr">
        <is>
          <t>포세린 600×600 무광, 레벨 시공</t>
        </is>
      </c>
      <c r="D91" s="16" t="inlineStr">
        <is>
          <t>㎡</t>
        </is>
      </c>
      <c r="E91" s="38" t="n">
        <v>3</v>
      </c>
      <c r="F91" s="39" t="n">
        <v>110000</v>
      </c>
      <c r="G91" s="40">
        <f>ROUND(E91*F91,0)</f>
        <v/>
      </c>
      <c r="H91" s="18" t="inlineStr"/>
    </row>
    <row r="92">
      <c r="A92" s="14" t="inlineStr">
        <is>
          <t>10-02</t>
        </is>
      </c>
      <c r="B92" s="9" t="inlineStr">
        <is>
          <t>세탁실·다용도실 바닥 타일</t>
        </is>
      </c>
      <c r="C92" s="18" t="inlineStr">
        <is>
          <t>300×300 논슬립 덧방</t>
        </is>
      </c>
      <c r="D92" s="16" t="inlineStr">
        <is>
          <t>㎡</t>
        </is>
      </c>
      <c r="E92" s="38" t="n">
        <v>6</v>
      </c>
      <c r="F92" s="39" t="n">
        <v>65000</v>
      </c>
      <c r="G92" s="40">
        <f>ROUND(E92*F92,0)</f>
        <v/>
      </c>
      <c r="H92" s="18" t="inlineStr"/>
    </row>
    <row r="93">
      <c r="A93" s="14" t="inlineStr">
        <is>
          <t>10-03</t>
        </is>
      </c>
      <c r="B93" s="9" t="inlineStr">
        <is>
          <t>현관 디딤판</t>
        </is>
      </c>
      <c r="C93" s="18" t="inlineStr">
        <is>
          <t>인조대리석</t>
        </is>
      </c>
      <c r="D93" s="16" t="inlineStr">
        <is>
          <t>개</t>
        </is>
      </c>
      <c r="E93" s="38" t="n">
        <v>1</v>
      </c>
      <c r="F93" s="39" t="n">
        <v>120000</v>
      </c>
      <c r="G93" s="40">
        <f>ROUND(E93*F93,0)</f>
        <v/>
      </c>
      <c r="H93" s="18" t="inlineStr"/>
    </row>
    <row r="94">
      <c r="A94" s="41" t="inlineStr">
        <is>
          <t>타일공사  소계</t>
        </is>
      </c>
      <c r="B94" s="8" t="n"/>
      <c r="C94" s="8" t="n"/>
      <c r="D94" s="8" t="n"/>
      <c r="E94" s="8" t="n"/>
      <c r="F94" s="5" t="n"/>
      <c r="G94" s="24">
        <f>SUM(G91:G93)</f>
        <v/>
      </c>
      <c r="H94" s="22" t="inlineStr"/>
    </row>
    <row r="95">
      <c r="A95" s="10" t="inlineStr">
        <is>
          <t>11</t>
        </is>
      </c>
      <c r="B95" s="37" t="inlineStr">
        <is>
          <t>중문공사</t>
        </is>
      </c>
      <c r="C95" s="8" t="n"/>
      <c r="D95" s="8" t="n"/>
      <c r="E95" s="8" t="n"/>
      <c r="F95" s="8" t="n"/>
      <c r="G95" s="8" t="n"/>
      <c r="H95" s="5" t="n"/>
    </row>
    <row r="96">
      <c r="A96" s="14" t="inlineStr">
        <is>
          <t>11-01</t>
        </is>
      </c>
      <c r="B96" s="9" t="inlineStr">
        <is>
          <t>현관 3연동 슬림 중문</t>
        </is>
      </c>
      <c r="C96" s="18" t="inlineStr">
        <is>
          <t>알루미늄 슬림 프레임, 강화유리(투명/브론즈 선택)</t>
        </is>
      </c>
      <c r="D96" s="16" t="inlineStr">
        <is>
          <t>개소</t>
        </is>
      </c>
      <c r="E96" s="38" t="n">
        <v>1</v>
      </c>
      <c r="F96" s="39" t="n">
        <v>1850000</v>
      </c>
      <c r="G96" s="40">
        <f>ROUND(E96*F96,0)</f>
        <v/>
      </c>
      <c r="H96" s="18" t="inlineStr"/>
    </row>
    <row r="97">
      <c r="A97" s="41" t="inlineStr">
        <is>
          <t>중문공사  소계</t>
        </is>
      </c>
      <c r="B97" s="8" t="n"/>
      <c r="C97" s="8" t="n"/>
      <c r="D97" s="8" t="n"/>
      <c r="E97" s="8" t="n"/>
      <c r="F97" s="5" t="n"/>
      <c r="G97" s="24">
        <f>SUM(G96:G96)</f>
        <v/>
      </c>
      <c r="H97" s="22" t="inlineStr"/>
    </row>
    <row r="98">
      <c r="A98" s="10" t="inlineStr">
        <is>
          <t>12</t>
        </is>
      </c>
      <c r="B98" s="37" t="inlineStr">
        <is>
          <t>가구공사</t>
        </is>
      </c>
      <c r="C98" s="8" t="n"/>
      <c r="D98" s="8" t="n"/>
      <c r="E98" s="8" t="n"/>
      <c r="F98" s="8" t="n"/>
      <c r="G98" s="8" t="n"/>
      <c r="H98" s="5" t="n"/>
    </row>
    <row r="99">
      <c r="A99" s="14" t="inlineStr">
        <is>
          <t>12-01</t>
        </is>
      </c>
      <c r="B99" s="9" t="inlineStr">
        <is>
          <t>현관 신발장</t>
        </is>
      </c>
      <c r="C99" s="18" t="inlineStr">
        <is>
          <t>천장형 H2300, 하부 띄움 + 간접등 홈, PET 도어</t>
        </is>
      </c>
      <c r="D99" s="16" t="inlineStr">
        <is>
          <t>m</t>
        </is>
      </c>
      <c r="E99" s="38" t="n">
        <v>1.2</v>
      </c>
      <c r="F99" s="39" t="n">
        <v>650000</v>
      </c>
      <c r="G99" s="40">
        <f>ROUND(E99*F99,0)</f>
        <v/>
      </c>
      <c r="H99" s="18" t="inlineStr"/>
    </row>
    <row r="100">
      <c r="A100" s="14" t="inlineStr">
        <is>
          <t>12-02</t>
        </is>
      </c>
      <c r="B100" s="9" t="inlineStr">
        <is>
          <t>안방 붙박이장</t>
        </is>
      </c>
      <c r="C100" s="18" t="inlineStr">
        <is>
          <t>여닫이 2.4m, 내부 서랍 2단</t>
        </is>
      </c>
      <c r="D100" s="16" t="inlineStr">
        <is>
          <t>m</t>
        </is>
      </c>
      <c r="E100" s="38" t="n">
        <v>2.4</v>
      </c>
      <c r="F100" s="39" t="n">
        <v>420000</v>
      </c>
      <c r="G100" s="40">
        <f>ROUND(E100*F100,0)</f>
        <v/>
      </c>
      <c r="H100" s="18" t="inlineStr"/>
    </row>
    <row r="101">
      <c r="A101" s="41" t="inlineStr">
        <is>
          <t>가구공사  소계</t>
        </is>
      </c>
      <c r="B101" s="8" t="n"/>
      <c r="C101" s="8" t="n"/>
      <c r="D101" s="8" t="n"/>
      <c r="E101" s="8" t="n"/>
      <c r="F101" s="5" t="n"/>
      <c r="G101" s="24">
        <f>SUM(G99:G100)</f>
        <v/>
      </c>
      <c r="H101" s="22" t="inlineStr"/>
    </row>
    <row r="102">
      <c r="A102" s="10" t="inlineStr">
        <is>
          <t>13</t>
        </is>
      </c>
      <c r="B102" s="37" t="inlineStr">
        <is>
          <t>마감·청소</t>
        </is>
      </c>
      <c r="C102" s="8" t="n"/>
      <c r="D102" s="8" t="n"/>
      <c r="E102" s="8" t="n"/>
      <c r="F102" s="8" t="n"/>
      <c r="G102" s="8" t="n"/>
      <c r="H102" s="5" t="n"/>
    </row>
    <row r="103">
      <c r="A103" s="14" t="inlineStr">
        <is>
          <t>13-01</t>
        </is>
      </c>
      <c r="B103" s="9" t="inlineStr">
        <is>
          <t>실리콘 마감</t>
        </is>
      </c>
      <c r="C103" s="18" t="inlineStr">
        <is>
          <t>곰팡이 방지 실리콘 (주방·욕실·창호 주변)</t>
        </is>
      </c>
      <c r="D103" s="16" t="inlineStr">
        <is>
          <t>식</t>
        </is>
      </c>
      <c r="E103" s="38" t="n">
        <v>1</v>
      </c>
      <c r="F103" s="39" t="n">
        <v>250000</v>
      </c>
      <c r="G103" s="40">
        <f>ROUND(E103*F103,0)</f>
        <v/>
      </c>
      <c r="H103" s="18" t="inlineStr"/>
    </row>
    <row r="104">
      <c r="A104" s="14" t="inlineStr">
        <is>
          <t>13-02</t>
        </is>
      </c>
      <c r="B104" s="9" t="inlineStr">
        <is>
          <t>입주 청소</t>
        </is>
      </c>
      <c r="C104" s="18" t="inlineStr">
        <is>
          <t>전문 청소업체, 32평형</t>
        </is>
      </c>
      <c r="D104" s="16" t="inlineStr">
        <is>
          <t>식</t>
        </is>
      </c>
      <c r="E104" s="38" t="n">
        <v>1</v>
      </c>
      <c r="F104" s="39" t="n">
        <v>520000</v>
      </c>
      <c r="G104" s="40">
        <f>ROUND(E104*F104,0)</f>
        <v/>
      </c>
      <c r="H104" s="18" t="inlineStr"/>
    </row>
    <row r="105">
      <c r="A105" s="14" t="inlineStr">
        <is>
          <t>13-03</t>
        </is>
      </c>
      <c r="B105" s="9" t="inlineStr">
        <is>
          <t>준공 점검·마감 보수</t>
        </is>
      </c>
      <c r="C105" s="18" t="inlineStr">
        <is>
          <t>고객 동행 점검 후 보수</t>
        </is>
      </c>
      <c r="D105" s="16" t="inlineStr">
        <is>
          <t>식</t>
        </is>
      </c>
      <c r="E105" s="38" t="n">
        <v>1</v>
      </c>
      <c r="F105" s="39" t="n">
        <v>0</v>
      </c>
      <c r="G105" s="40">
        <f>ROUND(E105*F105,0)</f>
        <v/>
      </c>
      <c r="H105" s="18" t="inlineStr">
        <is>
          <t>무상 제공</t>
        </is>
      </c>
    </row>
    <row r="106">
      <c r="A106" s="41" t="inlineStr">
        <is>
          <t>마감·청소  소계</t>
        </is>
      </c>
      <c r="B106" s="8" t="n"/>
      <c r="C106" s="8" t="n"/>
      <c r="D106" s="8" t="n"/>
      <c r="E106" s="8" t="n"/>
      <c r="F106" s="5" t="n"/>
      <c r="G106" s="24">
        <f>SUM(G103:G105)</f>
        <v/>
      </c>
      <c r="H106" s="22" t="inlineStr"/>
    </row>
    <row r="107">
      <c r="A107" s="11" t="inlineStr">
        <is>
          <t>직접공사비 합계</t>
        </is>
      </c>
      <c r="B107" s="8" t="n"/>
      <c r="C107" s="8" t="n"/>
      <c r="D107" s="8" t="n"/>
      <c r="E107" s="8" t="n"/>
      <c r="F107" s="5" t="n"/>
      <c r="G107" s="42">
        <f>G17+G23+G32+G44+G61+G73+G78+G83+G89+G94+G97+G101+G106</f>
        <v/>
      </c>
      <c r="H107" s="30" t="inlineStr"/>
    </row>
  </sheetData>
  <mergeCells count="30">
    <mergeCell ref="B84:H84"/>
    <mergeCell ref="B74:H74"/>
    <mergeCell ref="A89:F89"/>
    <mergeCell ref="B24:H24"/>
    <mergeCell ref="B95:H95"/>
    <mergeCell ref="B33:H33"/>
    <mergeCell ref="A1:H1"/>
    <mergeCell ref="A101:F101"/>
    <mergeCell ref="B5:H5"/>
    <mergeCell ref="B45:H45"/>
    <mergeCell ref="B79:H79"/>
    <mergeCell ref="A23:F23"/>
    <mergeCell ref="A32:F32"/>
    <mergeCell ref="A106:F106"/>
    <mergeCell ref="B62:H62"/>
    <mergeCell ref="A17:F17"/>
    <mergeCell ref="A97:F97"/>
    <mergeCell ref="B90:H90"/>
    <mergeCell ref="A3:H3"/>
    <mergeCell ref="B18:H18"/>
    <mergeCell ref="B102:H102"/>
    <mergeCell ref="A44:F44"/>
    <mergeCell ref="A2:H2"/>
    <mergeCell ref="A83:F83"/>
    <mergeCell ref="B98:H98"/>
    <mergeCell ref="A73:F73"/>
    <mergeCell ref="A107:F107"/>
    <mergeCell ref="A94:F94"/>
    <mergeCell ref="A61:F61"/>
    <mergeCell ref="A78:F78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M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</cols>
  <sheetData>
    <row r="1" ht="30" customHeight="1">
      <c r="A1" s="43" t="inlineStr">
        <is>
          <t>공 정 표  —  6주 (작업일 36일 · 주 6일 작업, 일요일·공휴일 휴무)</t>
        </is>
      </c>
    </row>
    <row r="2">
      <c r="A2" s="3" t="inlineStr">
        <is>
          <t>착공일 (월요일)</t>
        </is>
      </c>
      <c r="B2" s="44" t="n">
        <v>46328</v>
      </c>
      <c r="C2" s="34" t="inlineStr">
        <is>
          <t xml:space="preserve">  ← 착공일을 입력하면 아래 날짜가 바뀝니다 (예시 날짜)</t>
        </is>
      </c>
    </row>
    <row r="4">
      <c r="A4" s="3" t="inlineStr">
        <is>
          <t>공 정</t>
        </is>
      </c>
      <c r="B4" s="3" t="inlineStr">
        <is>
          <t>세부 내용</t>
        </is>
      </c>
      <c r="C4" s="3" t="inlineStr">
        <is>
          <t>일수</t>
        </is>
      </c>
      <c r="D4" s="45" t="inlineStr">
        <is>
          <t>1주차</t>
        </is>
      </c>
      <c r="E4" s="8" t="n"/>
      <c r="F4" s="8" t="n"/>
      <c r="G4" s="8" t="n"/>
      <c r="H4" s="8" t="n"/>
      <c r="I4" s="5" t="n"/>
      <c r="J4" s="45" t="inlineStr">
        <is>
          <t>2주차</t>
        </is>
      </c>
      <c r="K4" s="8" t="n"/>
      <c r="L4" s="8" t="n"/>
      <c r="M4" s="8" t="n"/>
      <c r="N4" s="8" t="n"/>
      <c r="O4" s="5" t="n"/>
      <c r="P4" s="45" t="inlineStr">
        <is>
          <t>3주차</t>
        </is>
      </c>
      <c r="Q4" s="8" t="n"/>
      <c r="R4" s="8" t="n"/>
      <c r="S4" s="8" t="n"/>
      <c r="T4" s="8" t="n"/>
      <c r="U4" s="5" t="n"/>
      <c r="V4" s="45" t="inlineStr">
        <is>
          <t>4주차</t>
        </is>
      </c>
      <c r="W4" s="8" t="n"/>
      <c r="X4" s="8" t="n"/>
      <c r="Y4" s="8" t="n"/>
      <c r="Z4" s="8" t="n"/>
      <c r="AA4" s="5" t="n"/>
      <c r="AB4" s="45" t="inlineStr">
        <is>
          <t>5주차</t>
        </is>
      </c>
      <c r="AC4" s="8" t="n"/>
      <c r="AD4" s="8" t="n"/>
      <c r="AE4" s="8" t="n"/>
      <c r="AF4" s="8" t="n"/>
      <c r="AG4" s="5" t="n"/>
      <c r="AH4" s="45" t="inlineStr">
        <is>
          <t>6주차</t>
        </is>
      </c>
      <c r="AI4" s="8" t="n"/>
      <c r="AJ4" s="8" t="n"/>
      <c r="AK4" s="8" t="n"/>
      <c r="AL4" s="8" t="n"/>
      <c r="AM4" s="5" t="n"/>
    </row>
    <row r="5">
      <c r="A5" s="46" t="n"/>
      <c r="B5" s="46" t="n"/>
      <c r="C5" s="46" t="n"/>
      <c r="D5" s="47" t="inlineStr">
        <is>
          <t>D1</t>
        </is>
      </c>
      <c r="E5" s="47" t="inlineStr">
        <is>
          <t>D2</t>
        </is>
      </c>
      <c r="F5" s="47" t="inlineStr">
        <is>
          <t>D3</t>
        </is>
      </c>
      <c r="G5" s="47" t="inlineStr">
        <is>
          <t>D4</t>
        </is>
      </c>
      <c r="H5" s="47" t="inlineStr">
        <is>
          <t>D5</t>
        </is>
      </c>
      <c r="I5" s="47" t="inlineStr">
        <is>
          <t>D6</t>
        </is>
      </c>
      <c r="J5" s="47" t="inlineStr">
        <is>
          <t>D7</t>
        </is>
      </c>
      <c r="K5" s="47" t="inlineStr">
        <is>
          <t>D8</t>
        </is>
      </c>
      <c r="L5" s="47" t="inlineStr">
        <is>
          <t>D9</t>
        </is>
      </c>
      <c r="M5" s="47" t="inlineStr">
        <is>
          <t>D10</t>
        </is>
      </c>
      <c r="N5" s="47" t="inlineStr">
        <is>
          <t>D11</t>
        </is>
      </c>
      <c r="O5" s="47" t="inlineStr">
        <is>
          <t>D12</t>
        </is>
      </c>
      <c r="P5" s="47" t="inlineStr">
        <is>
          <t>D13</t>
        </is>
      </c>
      <c r="Q5" s="47" t="inlineStr">
        <is>
          <t>D14</t>
        </is>
      </c>
      <c r="R5" s="47" t="inlineStr">
        <is>
          <t>D15</t>
        </is>
      </c>
      <c r="S5" s="47" t="inlineStr">
        <is>
          <t>D16</t>
        </is>
      </c>
      <c r="T5" s="47" t="inlineStr">
        <is>
          <t>D17</t>
        </is>
      </c>
      <c r="U5" s="47" t="inlineStr">
        <is>
          <t>D18</t>
        </is>
      </c>
      <c r="V5" s="47" t="inlineStr">
        <is>
          <t>D19</t>
        </is>
      </c>
      <c r="W5" s="47" t="inlineStr">
        <is>
          <t>D20</t>
        </is>
      </c>
      <c r="X5" s="47" t="inlineStr">
        <is>
          <t>D21</t>
        </is>
      </c>
      <c r="Y5" s="47" t="inlineStr">
        <is>
          <t>D22</t>
        </is>
      </c>
      <c r="Z5" s="47" t="inlineStr">
        <is>
          <t>D23</t>
        </is>
      </c>
      <c r="AA5" s="47" t="inlineStr">
        <is>
          <t>D24</t>
        </is>
      </c>
      <c r="AB5" s="47" t="inlineStr">
        <is>
          <t>D25</t>
        </is>
      </c>
      <c r="AC5" s="47" t="inlineStr">
        <is>
          <t>D26</t>
        </is>
      </c>
      <c r="AD5" s="47" t="inlineStr">
        <is>
          <t>D27</t>
        </is>
      </c>
      <c r="AE5" s="47" t="inlineStr">
        <is>
          <t>D28</t>
        </is>
      </c>
      <c r="AF5" s="47" t="inlineStr">
        <is>
          <t>D29</t>
        </is>
      </c>
      <c r="AG5" s="47" t="inlineStr">
        <is>
          <t>D30</t>
        </is>
      </c>
      <c r="AH5" s="47" t="inlineStr">
        <is>
          <t>D31</t>
        </is>
      </c>
      <c r="AI5" s="47" t="inlineStr">
        <is>
          <t>D32</t>
        </is>
      </c>
      <c r="AJ5" s="47" t="inlineStr">
        <is>
          <t>D33</t>
        </is>
      </c>
      <c r="AK5" s="47" t="inlineStr">
        <is>
          <t>D34</t>
        </is>
      </c>
      <c r="AL5" s="47" t="inlineStr">
        <is>
          <t>D35</t>
        </is>
      </c>
      <c r="AM5" s="47" t="inlineStr">
        <is>
          <t>D36</t>
        </is>
      </c>
    </row>
    <row r="6">
      <c r="A6" s="48" t="n"/>
      <c r="B6" s="48" t="n"/>
      <c r="C6" s="48" t="n"/>
      <c r="D6" s="49" t="inlineStr">
        <is>
          <t>월</t>
        </is>
      </c>
      <c r="E6" s="49" t="inlineStr">
        <is>
          <t>화</t>
        </is>
      </c>
      <c r="F6" s="49" t="inlineStr">
        <is>
          <t>수</t>
        </is>
      </c>
      <c r="G6" s="49" t="inlineStr">
        <is>
          <t>목</t>
        </is>
      </c>
      <c r="H6" s="49" t="inlineStr">
        <is>
          <t>금</t>
        </is>
      </c>
      <c r="I6" s="49" t="inlineStr">
        <is>
          <t>토</t>
        </is>
      </c>
      <c r="J6" s="49" t="inlineStr">
        <is>
          <t>월</t>
        </is>
      </c>
      <c r="K6" s="49" t="inlineStr">
        <is>
          <t>화</t>
        </is>
      </c>
      <c r="L6" s="49" t="inlineStr">
        <is>
          <t>수</t>
        </is>
      </c>
      <c r="M6" s="49" t="inlineStr">
        <is>
          <t>목</t>
        </is>
      </c>
      <c r="N6" s="49" t="inlineStr">
        <is>
          <t>금</t>
        </is>
      </c>
      <c r="O6" s="49" t="inlineStr">
        <is>
          <t>토</t>
        </is>
      </c>
      <c r="P6" s="49" t="inlineStr">
        <is>
          <t>월</t>
        </is>
      </c>
      <c r="Q6" s="49" t="inlineStr">
        <is>
          <t>화</t>
        </is>
      </c>
      <c r="R6" s="49" t="inlineStr">
        <is>
          <t>수</t>
        </is>
      </c>
      <c r="S6" s="49" t="inlineStr">
        <is>
          <t>목</t>
        </is>
      </c>
      <c r="T6" s="49" t="inlineStr">
        <is>
          <t>금</t>
        </is>
      </c>
      <c r="U6" s="49" t="inlineStr">
        <is>
          <t>토</t>
        </is>
      </c>
      <c r="V6" s="49" t="inlineStr">
        <is>
          <t>월</t>
        </is>
      </c>
      <c r="W6" s="49" t="inlineStr">
        <is>
          <t>화</t>
        </is>
      </c>
      <c r="X6" s="49" t="inlineStr">
        <is>
          <t>수</t>
        </is>
      </c>
      <c r="Y6" s="49" t="inlineStr">
        <is>
          <t>목</t>
        </is>
      </c>
      <c r="Z6" s="49" t="inlineStr">
        <is>
          <t>금</t>
        </is>
      </c>
      <c r="AA6" s="49" t="inlineStr">
        <is>
          <t>토</t>
        </is>
      </c>
      <c r="AB6" s="49" t="inlineStr">
        <is>
          <t>월</t>
        </is>
      </c>
      <c r="AC6" s="49" t="inlineStr">
        <is>
          <t>화</t>
        </is>
      </c>
      <c r="AD6" s="49" t="inlineStr">
        <is>
          <t>수</t>
        </is>
      </c>
      <c r="AE6" s="49" t="inlineStr">
        <is>
          <t>목</t>
        </is>
      </c>
      <c r="AF6" s="49" t="inlineStr">
        <is>
          <t>금</t>
        </is>
      </c>
      <c r="AG6" s="49" t="inlineStr">
        <is>
          <t>토</t>
        </is>
      </c>
      <c r="AH6" s="49" t="inlineStr">
        <is>
          <t>월</t>
        </is>
      </c>
      <c r="AI6" s="49" t="inlineStr">
        <is>
          <t>화</t>
        </is>
      </c>
      <c r="AJ6" s="49" t="inlineStr">
        <is>
          <t>수</t>
        </is>
      </c>
      <c r="AK6" s="49" t="inlineStr">
        <is>
          <t>목</t>
        </is>
      </c>
      <c r="AL6" s="49" t="inlineStr">
        <is>
          <t>금</t>
        </is>
      </c>
      <c r="AM6" s="49" t="inlineStr">
        <is>
          <t>토</t>
        </is>
      </c>
    </row>
    <row r="7">
      <c r="A7" s="50" t="inlineStr">
        <is>
          <t>날짜</t>
        </is>
      </c>
      <c r="B7" s="9" t="inlineStr"/>
      <c r="C7" s="9" t="inlineStr"/>
      <c r="D7" s="51">
        <f>$B$2+0+INT(0/6)</f>
        <v/>
      </c>
      <c r="E7" s="51">
        <f>$B$2+1+INT(1/6)</f>
        <v/>
      </c>
      <c r="F7" s="51">
        <f>$B$2+2+INT(2/6)</f>
        <v/>
      </c>
      <c r="G7" s="51">
        <f>$B$2+3+INT(3/6)</f>
        <v/>
      </c>
      <c r="H7" s="51">
        <f>$B$2+4+INT(4/6)</f>
        <v/>
      </c>
      <c r="I7" s="51">
        <f>$B$2+5+INT(5/6)</f>
        <v/>
      </c>
      <c r="J7" s="51">
        <f>$B$2+6+INT(6/6)</f>
        <v/>
      </c>
      <c r="K7" s="51">
        <f>$B$2+7+INT(7/6)</f>
        <v/>
      </c>
      <c r="L7" s="51">
        <f>$B$2+8+INT(8/6)</f>
        <v/>
      </c>
      <c r="M7" s="51">
        <f>$B$2+9+INT(9/6)</f>
        <v/>
      </c>
      <c r="N7" s="51">
        <f>$B$2+10+INT(10/6)</f>
        <v/>
      </c>
      <c r="O7" s="51">
        <f>$B$2+11+INT(11/6)</f>
        <v/>
      </c>
      <c r="P7" s="51">
        <f>$B$2+12+INT(12/6)</f>
        <v/>
      </c>
      <c r="Q7" s="51">
        <f>$B$2+13+INT(13/6)</f>
        <v/>
      </c>
      <c r="R7" s="51">
        <f>$B$2+14+INT(14/6)</f>
        <v/>
      </c>
      <c r="S7" s="51">
        <f>$B$2+15+INT(15/6)</f>
        <v/>
      </c>
      <c r="T7" s="51">
        <f>$B$2+16+INT(16/6)</f>
        <v/>
      </c>
      <c r="U7" s="51">
        <f>$B$2+17+INT(17/6)</f>
        <v/>
      </c>
      <c r="V7" s="51">
        <f>$B$2+18+INT(18/6)</f>
        <v/>
      </c>
      <c r="W7" s="51">
        <f>$B$2+19+INT(19/6)</f>
        <v/>
      </c>
      <c r="X7" s="51">
        <f>$B$2+20+INT(20/6)</f>
        <v/>
      </c>
      <c r="Y7" s="51">
        <f>$B$2+21+INT(21/6)</f>
        <v/>
      </c>
      <c r="Z7" s="51">
        <f>$B$2+22+INT(22/6)</f>
        <v/>
      </c>
      <c r="AA7" s="51">
        <f>$B$2+23+INT(23/6)</f>
        <v/>
      </c>
      <c r="AB7" s="51">
        <f>$B$2+24+INT(24/6)</f>
        <v/>
      </c>
      <c r="AC7" s="51">
        <f>$B$2+25+INT(25/6)</f>
        <v/>
      </c>
      <c r="AD7" s="51">
        <f>$B$2+26+INT(26/6)</f>
        <v/>
      </c>
      <c r="AE7" s="51">
        <f>$B$2+27+INT(27/6)</f>
        <v/>
      </c>
      <c r="AF7" s="51">
        <f>$B$2+28+INT(28/6)</f>
        <v/>
      </c>
      <c r="AG7" s="51">
        <f>$B$2+29+INT(29/6)</f>
        <v/>
      </c>
      <c r="AH7" s="51">
        <f>$B$2+30+INT(30/6)</f>
        <v/>
      </c>
      <c r="AI7" s="51">
        <f>$B$2+31+INT(31/6)</f>
        <v/>
      </c>
      <c r="AJ7" s="51">
        <f>$B$2+32+INT(32/6)</f>
        <v/>
      </c>
      <c r="AK7" s="51">
        <f>$B$2+33+INT(33/6)</f>
        <v/>
      </c>
      <c r="AL7" s="51">
        <f>$B$2+34+INT(34/6)</f>
        <v/>
      </c>
      <c r="AM7" s="51">
        <f>$B$2+35+INT(35/6)</f>
        <v/>
      </c>
    </row>
    <row r="8" ht="18" customHeight="1">
      <c r="A8" s="17" t="inlineStr">
        <is>
          <t>보양·공사 준비</t>
        </is>
      </c>
      <c r="B8" s="18" t="inlineStr">
        <is>
          <t>EV·공용부·실내 보양, 공사 안내문 게시</t>
        </is>
      </c>
      <c r="C8" s="16" t="n">
        <v>1</v>
      </c>
      <c r="D8" s="52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</row>
    <row r="9" ht="18" customHeight="1">
      <c r="A9" s="17" t="inlineStr">
        <is>
          <t>철거</t>
        </is>
      </c>
      <c r="B9" s="18" t="inlineStr">
        <is>
          <t>바닥·욕실·주방·몰딩 철거, 폐기물 반출</t>
        </is>
      </c>
      <c r="C9" s="16" t="n">
        <v>3</v>
      </c>
      <c r="D9" s="52" t="n"/>
      <c r="E9" s="52" t="n"/>
      <c r="F9" s="52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</row>
    <row r="10" ht="18" customHeight="1">
      <c r="A10" s="17" t="inlineStr">
        <is>
          <t>설비</t>
        </is>
      </c>
      <c r="B10" s="18" t="inlineStr">
        <is>
          <t>배관 압력시험, 주방·세탁실 배관 정리</t>
        </is>
      </c>
      <c r="C10" s="16" t="n">
        <v>2</v>
      </c>
      <c r="D10" s="16" t="n"/>
      <c r="E10" s="16" t="n"/>
      <c r="F10" s="16" t="n"/>
      <c r="G10" s="53" t="n"/>
      <c r="H10" s="53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</row>
    <row r="11" ht="18" customHeight="1">
      <c r="A11" s="17" t="inlineStr">
        <is>
          <t>전기 1차</t>
        </is>
      </c>
      <c r="B11" s="18" t="inlineStr">
        <is>
          <t>분전반 정비, 배선 증설·입선, 타공 위치 표시</t>
        </is>
      </c>
      <c r="C11" s="16" t="n">
        <v>3</v>
      </c>
      <c r="D11" s="16" t="n"/>
      <c r="E11" s="16" t="n"/>
      <c r="F11" s="16" t="n"/>
      <c r="G11" s="53" t="n"/>
      <c r="H11" s="53" t="n"/>
      <c r="I11" s="53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</row>
    <row r="12" ht="18" customHeight="1">
      <c r="A12" s="17" t="inlineStr">
        <is>
          <t>욕실 방수</t>
        </is>
      </c>
      <c r="B12" s="18" t="inlineStr">
        <is>
          <t>액체방수 2회 → 담수 테스트 48시간</t>
        </is>
      </c>
      <c r="C12" s="16" t="n">
        <v>4</v>
      </c>
      <c r="D12" s="16" t="n"/>
      <c r="E12" s="16" t="n"/>
      <c r="F12" s="16" t="n"/>
      <c r="G12" s="16" t="n"/>
      <c r="H12" s="54" t="n"/>
      <c r="I12" s="54" t="n"/>
      <c r="J12" s="54" t="n"/>
      <c r="K12" s="54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</row>
    <row r="13" ht="18" customHeight="1">
      <c r="A13" s="17" t="inlineStr">
        <is>
          <t>목공</t>
        </is>
      </c>
      <c r="B13" s="18" t="inlineStr">
        <is>
          <t>천장 평탄화, 무몰딩, 간접조명·커튼박스, 문선</t>
        </is>
      </c>
      <c r="C13" s="16" t="n">
        <v>6</v>
      </c>
      <c r="D13" s="16" t="n"/>
      <c r="E13" s="16" t="n"/>
      <c r="F13" s="16" t="n"/>
      <c r="G13" s="16" t="n"/>
      <c r="H13" s="16" t="n"/>
      <c r="I13" s="16" t="n"/>
      <c r="J13" s="55" t="n"/>
      <c r="K13" s="55" t="n"/>
      <c r="L13" s="55" t="n"/>
      <c r="M13" s="55" t="n"/>
      <c r="N13" s="55" t="n"/>
      <c r="O13" s="55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</row>
    <row r="14" ht="18" customHeight="1">
      <c r="A14" s="17" t="inlineStr">
        <is>
          <t>욕실 타일</t>
        </is>
      </c>
      <c r="B14" s="18" t="inlineStr">
        <is>
          <t>벽·바닥 타일, 젠다이·문턱</t>
        </is>
      </c>
      <c r="C14" s="16" t="n">
        <v>5</v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54" t="n"/>
      <c r="M14" s="54" t="n"/>
      <c r="N14" s="54" t="n"/>
      <c r="O14" s="54" t="n"/>
      <c r="P14" s="54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</row>
    <row r="15" ht="18" customHeight="1">
      <c r="A15" s="17" t="inlineStr">
        <is>
          <t>필름</t>
        </is>
      </c>
      <c r="B15" s="18" t="inlineStr">
        <is>
          <t>방문·문틀·현관문 필름</t>
        </is>
      </c>
      <c r="C15" s="16" t="n">
        <v>3</v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56" t="n"/>
      <c r="Q15" s="56" t="n"/>
      <c r="R15" s="5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</row>
    <row r="16" ht="18" customHeight="1">
      <c r="A16" s="17" t="inlineStr">
        <is>
          <t>타일·도장</t>
        </is>
      </c>
      <c r="B16" s="18" t="inlineStr">
        <is>
          <t>현관·세탁실 타일, 발코니 탄성코트</t>
        </is>
      </c>
      <c r="C16" s="16" t="n">
        <v>3</v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54" t="n"/>
      <c r="R16" s="54" t="n"/>
      <c r="S16" s="54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</row>
    <row r="17" ht="18" customHeight="1">
      <c r="A17" s="17" t="inlineStr">
        <is>
          <t>욕실 마감</t>
        </is>
      </c>
      <c r="B17" s="18" t="inlineStr">
        <is>
          <t>천장재, 도기·수전·욕실장 설치</t>
        </is>
      </c>
      <c r="C17" s="16" t="n">
        <v>2</v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54" t="n"/>
      <c r="T17" s="54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</row>
    <row r="18" ht="18" customHeight="1">
      <c r="A18" s="17" t="inlineStr">
        <is>
          <t>도배</t>
        </is>
      </c>
      <c r="B18" s="18" t="inlineStr">
        <is>
          <t>퍼티·초배 → 벽·천장 실크벽지</t>
        </is>
      </c>
      <c r="C18" s="16" t="n">
        <v>4</v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56" t="n"/>
      <c r="V18" s="56" t="n"/>
      <c r="W18" s="56" t="n"/>
      <c r="X18" s="5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</row>
    <row r="19" ht="18" customHeight="1">
      <c r="A19" s="17" t="inlineStr">
        <is>
          <t>바닥</t>
        </is>
      </c>
      <c r="B19" s="18" t="inlineStr">
        <is>
          <t>강마루 시공, 걸레받이</t>
        </is>
      </c>
      <c r="C19" s="16" t="n">
        <v>3</v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56" t="n"/>
      <c r="Z19" s="56" t="n"/>
      <c r="AA19" s="5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</row>
    <row r="20" ht="18" customHeight="1">
      <c r="A20" s="17" t="inlineStr">
        <is>
          <t>가구</t>
        </is>
      </c>
      <c r="B20" s="18" t="inlineStr">
        <is>
          <t>주방 싱크대, 현관 신발장, 안방 붙박이장</t>
        </is>
      </c>
      <c r="C20" s="16" t="n">
        <v>2</v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55" t="n"/>
      <c r="AC20" s="55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</row>
    <row r="21" ht="18" customHeight="1">
      <c r="A21" s="17" t="inlineStr">
        <is>
          <t>주방 마감</t>
        </is>
      </c>
      <c r="B21" s="18" t="inlineStr">
        <is>
          <t>상판, 싱크볼·수전·후드, 주방 벽 타일</t>
        </is>
      </c>
      <c r="C21" s="16" t="n">
        <v>2</v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55" t="n"/>
      <c r="AE21" s="55" t="n"/>
      <c r="AF21" s="16" t="n"/>
      <c r="AG21" s="16" t="n"/>
      <c r="AH21" s="16" t="n"/>
      <c r="AI21" s="16" t="n"/>
      <c r="AJ21" s="16" t="n"/>
      <c r="AK21" s="16" t="n"/>
      <c r="AL21" s="16" t="n"/>
      <c r="AM21" s="16" t="n"/>
    </row>
    <row r="22" ht="18" customHeight="1">
      <c r="A22" s="17" t="inlineStr">
        <is>
          <t>중문</t>
        </is>
      </c>
      <c r="B22" s="18" t="inlineStr">
        <is>
          <t>현관 3연동 슬림 중문 설치</t>
        </is>
      </c>
      <c r="C22" s="16" t="n">
        <v>1</v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55" t="n"/>
      <c r="AF22" s="16" t="n"/>
      <c r="AG22" s="16" t="n"/>
      <c r="AH22" s="16" t="n"/>
      <c r="AI22" s="16" t="n"/>
      <c r="AJ22" s="16" t="n"/>
      <c r="AK22" s="16" t="n"/>
      <c r="AL22" s="16" t="n"/>
      <c r="AM22" s="16" t="n"/>
    </row>
    <row r="23" ht="18" customHeight="1">
      <c r="A23" s="17" t="inlineStr">
        <is>
          <t>전기 2차</t>
        </is>
      </c>
      <c r="B23" s="18" t="inlineStr">
        <is>
          <t>조명·스위치·콘센트 결선, 전기 안전점검</t>
        </is>
      </c>
      <c r="C23" s="16" t="n">
        <v>3</v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53" t="n"/>
      <c r="AE23" s="53" t="n"/>
      <c r="AF23" s="53" t="n"/>
      <c r="AG23" s="16" t="n"/>
      <c r="AH23" s="16" t="n"/>
      <c r="AI23" s="16" t="n"/>
      <c r="AJ23" s="16" t="n"/>
      <c r="AK23" s="16" t="n"/>
      <c r="AL23" s="16" t="n"/>
      <c r="AM23" s="16" t="n"/>
    </row>
    <row r="24" ht="18" customHeight="1">
      <c r="A24" s="17" t="inlineStr">
        <is>
          <t>실리콘·하드웨어</t>
        </is>
      </c>
      <c r="B24" s="18" t="inlineStr">
        <is>
          <t>실리콘, 도어 하드웨어, 욕실 액세서리</t>
        </is>
      </c>
      <c r="C24" s="16" t="n">
        <v>2</v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56" t="n"/>
      <c r="AG24" s="56" t="n"/>
      <c r="AH24" s="16" t="n"/>
      <c r="AI24" s="16" t="n"/>
      <c r="AJ24" s="16" t="n"/>
      <c r="AK24" s="16" t="n"/>
      <c r="AL24" s="16" t="n"/>
      <c r="AM24" s="16" t="n"/>
    </row>
    <row r="25" ht="18" customHeight="1">
      <c r="A25" s="17" t="inlineStr">
        <is>
          <t>입주 청소</t>
        </is>
      </c>
      <c r="B25" s="18" t="inlineStr">
        <is>
          <t>전문업체 입주 청소</t>
        </is>
      </c>
      <c r="C25" s="16" t="n">
        <v>2</v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57" t="n"/>
      <c r="AI25" s="57" t="n"/>
      <c r="AJ25" s="16" t="n"/>
      <c r="AK25" s="16" t="n"/>
      <c r="AL25" s="16" t="n"/>
      <c r="AM25" s="16" t="n"/>
    </row>
    <row r="26" ht="18" customHeight="1">
      <c r="A26" s="17" t="inlineStr">
        <is>
          <t>준공 점검·보수</t>
        </is>
      </c>
      <c r="B26" s="18" t="inlineStr">
        <is>
          <t>고객 동행 점검 → 지적 사항 보수</t>
        </is>
      </c>
      <c r="C26" s="16" t="n">
        <v>3</v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57" t="n"/>
      <c r="AK26" s="57" t="n"/>
      <c r="AL26" s="57" t="n"/>
      <c r="AM26" s="16" t="n"/>
    </row>
    <row r="27" ht="18" customHeight="1">
      <c r="A27" s="17" t="inlineStr">
        <is>
          <t>준공·인도</t>
        </is>
      </c>
      <c r="B27" s="18" t="inlineStr">
        <is>
          <t>잔금, A/S 보증서 발급, 사용 설명</t>
        </is>
      </c>
      <c r="C27" s="16" t="n">
        <v>1</v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57" t="n"/>
    </row>
    <row r="28">
      <c r="A28" s="58" t="inlineStr">
        <is>
          <t>★ 고객 확인</t>
        </is>
      </c>
      <c r="B28" s="18" t="inlineStr">
        <is>
          <t>현장 확인·승인 시점 (아래 표 참고)</t>
        </is>
      </c>
      <c r="C28" s="9" t="inlineStr"/>
      <c r="D28" s="59" t="n"/>
      <c r="E28" s="59" t="n"/>
      <c r="F28" s="59" t="inlineStr">
        <is>
          <t>★</t>
        </is>
      </c>
      <c r="G28" s="59" t="n"/>
      <c r="H28" s="59" t="n"/>
      <c r="I28" s="59" t="n"/>
      <c r="J28" s="59" t="n"/>
      <c r="K28" s="59" t="inlineStr">
        <is>
          <t>★</t>
        </is>
      </c>
      <c r="L28" s="59" t="n"/>
      <c r="M28" s="59" t="n"/>
      <c r="N28" s="59" t="n"/>
      <c r="O28" s="59" t="inlineStr">
        <is>
          <t>★</t>
        </is>
      </c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inlineStr">
        <is>
          <t>★</t>
        </is>
      </c>
      <c r="Y28" s="59" t="n"/>
      <c r="Z28" s="59" t="n"/>
      <c r="AA28" s="59" t="n"/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inlineStr">
        <is>
          <t>★</t>
        </is>
      </c>
      <c r="AK28" s="59" t="n"/>
      <c r="AL28" s="59" t="n"/>
      <c r="AM28" s="59" t="inlineStr">
        <is>
          <t>★</t>
        </is>
      </c>
    </row>
    <row r="29">
      <c r="A29" s="17" t="inlineStr">
        <is>
          <t>₩ 결제</t>
        </is>
      </c>
      <c r="B29" s="18" t="inlineStr">
        <is>
          <t>D1 착공금 30% · D12 중도금 40% · D36 잔금 20%</t>
        </is>
      </c>
      <c r="C29" s="9" t="inlineStr"/>
      <c r="D29" s="60" t="inlineStr">
        <is>
          <t>₩</t>
        </is>
      </c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0" t="inlineStr">
        <is>
          <t>₩</t>
        </is>
      </c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60" t="n"/>
      <c r="AJ29" s="60" t="n"/>
      <c r="AK29" s="60" t="n"/>
      <c r="AL29" s="60" t="n"/>
      <c r="AM29" s="60" t="inlineStr">
        <is>
          <t>₩</t>
        </is>
      </c>
    </row>
    <row r="31">
      <c r="A31" s="3" t="inlineStr">
        <is>
          <t>범 례</t>
        </is>
      </c>
      <c r="B31" s="18" t="inlineStr">
        <is>
          <t>■ 가설·철거   ■ 설비·전기   ■ 방수·타일·욕실   ■ 목공·가구   ■ 필름·도배·바닥   ■ 청소·준공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5" t="n"/>
    </row>
    <row r="33">
      <c r="A33" s="3" t="inlineStr">
        <is>
          <t>시 점</t>
        </is>
      </c>
      <c r="B33" s="3" t="inlineStr">
        <is>
          <t>고객 확인 포인트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5" t="n"/>
    </row>
    <row r="34">
      <c r="A34" s="61" t="inlineStr">
        <is>
          <t>착공 전</t>
        </is>
      </c>
      <c r="B34" s="18" t="inlineStr">
        <is>
          <t>디자인·자재 샘플 최종 확정 — 마루·벽지·타일·필름·싱크대 도어 색상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5" t="n"/>
    </row>
    <row r="35">
      <c r="A35" s="61" t="inlineStr">
        <is>
          <t>D3</t>
        </is>
      </c>
      <c r="B35" s="18" t="inlineStr">
        <is>
          <t>철거 완료 현장 확인 — 배관·바닥 상태, 숨은 하자 발견 시 사진 공유 후 서면 합의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5" t="n"/>
    </row>
    <row r="36">
      <c r="A36" s="61" t="inlineStr">
        <is>
          <t>D8</t>
        </is>
      </c>
      <c r="B36" s="18" t="inlineStr">
        <is>
          <t>욕실 담수 테스트 결과 확인 — 48시간 누수 없음 사진·영상 보고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5" t="n"/>
    </row>
    <row r="37">
      <c r="A37" s="61" t="inlineStr">
        <is>
          <t>D12</t>
        </is>
      </c>
      <c r="B37" s="18" t="inlineStr">
        <is>
          <t>목공 완료 — 조명·스위치·콘센트 위치 현장 최종 확인 (중도금 시점)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5" t="n"/>
    </row>
    <row r="38">
      <c r="A38" s="61" t="inlineStr">
        <is>
          <t>D21</t>
        </is>
      </c>
      <c r="B38" s="18" t="inlineStr">
        <is>
          <t>도배 완료 — 벽지 들뜸·이음 상태 확인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5" t="n"/>
    </row>
    <row r="39">
      <c r="A39" s="61" t="inlineStr">
        <is>
          <t>D33</t>
        </is>
      </c>
      <c r="B39" s="18" t="inlineStr">
        <is>
          <t>고객 동행 점검 — 지적 사항 목록(펀치리스트) 작성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5" t="n"/>
    </row>
    <row r="40">
      <c r="A40" s="61" t="inlineStr">
        <is>
          <t>D36</t>
        </is>
      </c>
      <c r="B40" s="18" t="inlineStr">
        <is>
          <t>준공·인도 — 잔금, A/S 보증서 발급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5" t="n"/>
    </row>
  </sheetData>
  <mergeCells count="20">
    <mergeCell ref="AH4:AM4"/>
    <mergeCell ref="B33:AM33"/>
    <mergeCell ref="A1:AM1"/>
    <mergeCell ref="B36:AM36"/>
    <mergeCell ref="C2:AM2"/>
    <mergeCell ref="B35:AM35"/>
    <mergeCell ref="J4:O4"/>
    <mergeCell ref="A4:A6"/>
    <mergeCell ref="B4:B6"/>
    <mergeCell ref="D4:I4"/>
    <mergeCell ref="B31:AM31"/>
    <mergeCell ref="B39:AM39"/>
    <mergeCell ref="C4:C6"/>
    <mergeCell ref="B38:AM38"/>
    <mergeCell ref="P4:U4"/>
    <mergeCell ref="B34:AM34"/>
    <mergeCell ref="B37:AM37"/>
    <mergeCell ref="B40:AM40"/>
    <mergeCell ref="V4:AA4"/>
    <mergeCell ref="AB4:AG4"/>
  </mergeCells>
  <printOptions horizontalCentered="1"/>
  <pageMargins left="0.4" right="0.4" top="0.5" bottom="0.5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26" customWidth="1" min="4" max="4"/>
    <col width="30" customWidth="1" min="5" max="5"/>
  </cols>
  <sheetData>
    <row r="1" ht="30" customHeight="1">
      <c r="A1" s="43" t="inlineStr">
        <is>
          <t>선 택 공 사  (견적 금액 미포함 · 참고 예상가)</t>
        </is>
      </c>
    </row>
    <row r="2">
      <c r="A2" s="34" t="inlineStr">
        <is>
          <t>착공 전에 결정하시면 배선·보강·일정에 미리 반영합니다. 금액은 실측·제품 선택 후 확정됩니다.</t>
        </is>
      </c>
    </row>
    <row r="4">
      <c r="A4" s="3" t="inlineStr">
        <is>
          <t>No</t>
        </is>
      </c>
      <c r="B4" s="3" t="inlineStr">
        <is>
          <t>항 목</t>
        </is>
      </c>
      <c r="C4" s="3" t="inlineStr">
        <is>
          <t>내 용</t>
        </is>
      </c>
      <c r="D4" s="3" t="inlineStr">
        <is>
          <t>참고 예상가</t>
        </is>
      </c>
      <c r="E4" s="3" t="inlineStr">
        <is>
          <t>비 고</t>
        </is>
      </c>
    </row>
    <row r="5" ht="20" customHeight="1">
      <c r="A5" s="16" t="n">
        <v>1</v>
      </c>
      <c r="B5" s="17" t="inlineStr">
        <is>
          <t>샷시(창호) 전체 교체</t>
        </is>
      </c>
      <c r="C5" s="18" t="inlineStr">
        <is>
          <t>이중창 전체 교체, LX·KCC 동급 (확장형 32평)</t>
        </is>
      </c>
      <c r="D5" s="16" t="inlineStr">
        <is>
          <t>약 1,400만 ~ 1,800만원</t>
        </is>
      </c>
      <c r="E5" s="18" t="inlineStr">
        <is>
          <t>실측 후 확정 · 착공 전 결정</t>
        </is>
      </c>
    </row>
    <row r="6" ht="20" customHeight="1">
      <c r="A6" s="16" t="n">
        <v>2</v>
      </c>
      <c r="B6" s="17" t="inlineStr">
        <is>
          <t>시스템에어컨</t>
        </is>
      </c>
      <c r="C6" s="18" t="inlineStr">
        <is>
          <t>거실 + 침실 3 (총 4대), 천장 매립 배관</t>
        </is>
      </c>
      <c r="D6" s="16" t="inlineStr">
        <is>
          <t>약 850만 ~ 1,100만원</t>
        </is>
      </c>
      <c r="E6" s="18" t="inlineStr">
        <is>
          <t>제조사 견적 기준 · 목공 전 결정</t>
        </is>
      </c>
    </row>
    <row r="7" ht="20" customHeight="1">
      <c r="A7" s="16" t="n">
        <v>3</v>
      </c>
      <c r="B7" s="17" t="inlineStr">
        <is>
          <t>커튼·블라인드</t>
        </is>
      </c>
      <c r="C7" s="18" t="inlineStr">
        <is>
          <t>거실 전동커튼 + 침실 암막커튼·블라인드</t>
        </is>
      </c>
      <c r="D7" s="16" t="inlineStr">
        <is>
          <t>약 250만 ~ 400만원</t>
        </is>
      </c>
      <c r="E7" s="18" t="inlineStr">
        <is>
          <t>엣지리브커튼 · 커튼박스·전원 반영됨</t>
        </is>
      </c>
    </row>
    <row r="8" ht="20" customHeight="1">
      <c r="A8" s="16" t="n">
        <v>4</v>
      </c>
      <c r="B8" s="17" t="inlineStr">
        <is>
          <t>거실 실링팬</t>
        </is>
      </c>
      <c r="C8" s="18" t="inlineStr">
        <is>
          <t>천장 보강 + 전원 인출 + 설치</t>
        </is>
      </c>
      <c r="D8" s="16" t="inlineStr">
        <is>
          <t>설치비 15만원 + 제품가</t>
        </is>
      </c>
      <c r="E8" s="18" t="inlineStr">
        <is>
          <t>아크로 실링팬 · 목공 단계 결정</t>
        </is>
      </c>
    </row>
    <row r="9" ht="20" customHeight="1">
      <c r="A9" s="16" t="n">
        <v>5</v>
      </c>
      <c r="B9" s="17" t="inlineStr">
        <is>
          <t>방문 교체</t>
        </is>
      </c>
      <c r="C9" s="18" t="inlineStr">
        <is>
          <t>필름 대신 ABS 도어 교체 (방문 5짝)</t>
        </is>
      </c>
      <c r="D9" s="16" t="inlineStr">
        <is>
          <t>필름 대비 +약 80만 ~ 120만원</t>
        </is>
      </c>
      <c r="E9" s="18" t="inlineStr"/>
    </row>
    <row r="10" ht="20" customHeight="1">
      <c r="A10" s="16" t="n">
        <v>6</v>
      </c>
      <c r="B10" s="17" t="inlineStr">
        <is>
          <t>줄눈 시공</t>
        </is>
      </c>
      <c r="C10" s="18" t="inlineStr">
        <is>
          <t>욕실 2개소 · 현관 (에폭시계)</t>
        </is>
      </c>
      <c r="D10" s="16" t="inlineStr">
        <is>
          <t>약 60만 ~ 90만원</t>
        </is>
      </c>
      <c r="E10" s="18" t="inlineStr">
        <is>
          <t>타일 시공 후 진행</t>
        </is>
      </c>
    </row>
    <row r="11" ht="20" customHeight="1">
      <c r="A11" s="16" t="n">
        <v>7</v>
      </c>
      <c r="B11" s="17" t="inlineStr">
        <is>
          <t>거실 아트월</t>
        </is>
      </c>
      <c r="C11" s="18" t="inlineStr">
        <is>
          <t>포세린 대형 타일 600×1200</t>
        </is>
      </c>
      <c r="D11" s="16" t="inlineStr">
        <is>
          <t>약 150만 ~ 220만원</t>
        </is>
      </c>
      <c r="E11" s="18" t="inlineStr"/>
    </row>
    <row r="12" ht="20" customHeight="1">
      <c r="A12" s="16" t="n">
        <v>8</v>
      </c>
      <c r="B12" s="17" t="inlineStr">
        <is>
          <t>디지털 도어록</t>
        </is>
      </c>
      <c r="C12" s="18" t="inlineStr">
        <is>
          <t>현관 푸시풀 타입 교체</t>
        </is>
      </c>
      <c r="D12" s="16" t="inlineStr">
        <is>
          <t>약 35만 ~ 50만원</t>
        </is>
      </c>
      <c r="E12" s="18" t="inlineStr"/>
    </row>
    <row r="13" ht="20" customHeight="1">
      <c r="A13" s="16" t="n">
        <v>9</v>
      </c>
      <c r="B13" s="17" t="inlineStr">
        <is>
          <t>드레스룸 시스템 선반</t>
        </is>
      </c>
      <c r="C13" s="18" t="inlineStr">
        <is>
          <t>안방 드레스룸</t>
        </is>
      </c>
      <c r="D13" s="16" t="inlineStr">
        <is>
          <t>약 80만 ~ 130만원</t>
        </is>
      </c>
      <c r="E13" s="18" t="inlineStr"/>
    </row>
  </sheetData>
  <mergeCells count="2">
    <mergeCell ref="A2:E2"/>
    <mergeCell ref="A1:E1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8" customWidth="1" min="4" max="4"/>
    <col width="18" customWidth="1" min="5" max="5"/>
  </cols>
  <sheetData>
    <row r="1" ht="30" customHeight="1">
      <c r="A1" s="43" t="inlineStr">
        <is>
          <t>결 제 조 건  ·  특 기 사 항</t>
        </is>
      </c>
    </row>
    <row r="3">
      <c r="A3" s="3" t="inlineStr">
        <is>
          <t>단 계</t>
        </is>
      </c>
      <c r="B3" s="3" t="inlineStr">
        <is>
          <t>시 점</t>
        </is>
      </c>
      <c r="C3" s="3" t="inlineStr">
        <is>
          <t>비 율</t>
        </is>
      </c>
      <c r="D3" s="3" t="inlineStr">
        <is>
          <t>금액(원)</t>
        </is>
      </c>
    </row>
    <row r="4">
      <c r="A4" s="61" t="inlineStr">
        <is>
          <t>계약금</t>
        </is>
      </c>
      <c r="B4" s="9" t="inlineStr">
        <is>
          <t>계약 체결 시</t>
        </is>
      </c>
      <c r="C4" s="62" t="n">
        <v>0.1</v>
      </c>
      <c r="D4" s="63">
        <f>ROUND('견적서'!$D$45*C4,0)</f>
        <v/>
      </c>
    </row>
    <row r="5">
      <c r="A5" s="61" t="inlineStr">
        <is>
          <t>착공금</t>
        </is>
      </c>
      <c r="B5" s="9" t="inlineStr">
        <is>
          <t>착공일 (D1)</t>
        </is>
      </c>
      <c r="C5" s="62" t="n">
        <v>0.3</v>
      </c>
      <c r="D5" s="63">
        <f>ROUND('견적서'!$D$45*C5,0)</f>
        <v/>
      </c>
    </row>
    <row r="6">
      <c r="A6" s="61" t="inlineStr">
        <is>
          <t>중도금</t>
        </is>
      </c>
      <c r="B6" s="9" t="inlineStr">
        <is>
          <t>목공 완료 후 (D12)</t>
        </is>
      </c>
      <c r="C6" s="62" t="n">
        <v>0.4</v>
      </c>
      <c r="D6" s="63">
        <f>ROUND('견적서'!$D$45*C6,0)</f>
        <v/>
      </c>
    </row>
    <row r="7">
      <c r="A7" s="61" t="inlineStr">
        <is>
          <t>잔금</t>
        </is>
      </c>
      <c r="B7" s="9" t="inlineStr">
        <is>
          <t>준공 점검·보수 완료 후 (D36)</t>
        </is>
      </c>
      <c r="C7" s="62" t="n">
        <v>0.2</v>
      </c>
      <c r="D7" s="63">
        <f>ROUND('견적서'!$D$45*C7,0)</f>
        <v/>
      </c>
    </row>
    <row r="8">
      <c r="A8" s="41" t="inlineStr">
        <is>
          <t>합 계</t>
        </is>
      </c>
      <c r="B8" s="22" t="inlineStr"/>
      <c r="C8" s="64">
        <f>SUM(C4:C7)</f>
        <v/>
      </c>
      <c r="D8" s="24">
        <f>SUM(D4:D7)</f>
        <v/>
      </c>
    </row>
    <row r="10">
      <c r="A10" s="65" t="inlineStr">
        <is>
          <t>포함 사항</t>
        </is>
      </c>
      <c r="B10" s="8" t="n"/>
      <c r="C10" s="8" t="n"/>
      <c r="D10" s="8" t="n"/>
      <c r="E10" s="5" t="n"/>
    </row>
    <row r="11" ht="18" customHeight="1">
      <c r="A11" s="18" t="inlineStr">
        <is>
          <t>· 내역서에 기재된 전 공종의 자재비·시공비·운반비·폐기물 처리비</t>
        </is>
      </c>
      <c r="B11" s="8" t="n"/>
      <c r="C11" s="8" t="n"/>
      <c r="D11" s="8" t="n"/>
      <c r="E11" s="5" t="n"/>
    </row>
    <row r="12" ht="18" customHeight="1">
      <c r="A12" s="18" t="inlineStr">
        <is>
          <t>· 관리사무소 공사 신고·입주민 동의서 대행, 엘리베이터·공용부 보양</t>
        </is>
      </c>
      <c r="B12" s="8" t="n"/>
      <c r="C12" s="8" t="n"/>
      <c r="D12" s="8" t="n"/>
      <c r="E12" s="5" t="n"/>
    </row>
    <row r="13" ht="18" customHeight="1">
      <c r="A13" s="18" t="inlineStr">
        <is>
          <t>· 공정별 시공 사진·영상 보고 (주 2회 이상, 카카오톡)</t>
        </is>
      </c>
      <c r="B13" s="8" t="n"/>
      <c r="C13" s="8" t="n"/>
      <c r="D13" s="8" t="n"/>
      <c r="E13" s="5" t="n"/>
    </row>
    <row r="14" ht="18" customHeight="1">
      <c r="A14" s="18" t="inlineStr">
        <is>
          <t>· 준공 전 전기 안전점검(절연저항 측정) 및 입주 청소</t>
        </is>
      </c>
      <c r="B14" s="8" t="n"/>
      <c r="C14" s="8" t="n"/>
      <c r="D14" s="8" t="n"/>
      <c r="E14" s="5" t="n"/>
    </row>
    <row r="16">
      <c r="A16" s="65" t="inlineStr">
        <is>
          <t>불포함 사항</t>
        </is>
      </c>
      <c r="B16" s="8" t="n"/>
      <c r="C16" s="8" t="n"/>
      <c r="D16" s="8" t="n"/>
      <c r="E16" s="5" t="n"/>
    </row>
    <row r="17" ht="18" customHeight="1">
      <c r="A17" s="18" t="inlineStr">
        <is>
          <t>· 샷시(창호), 가전(인덕션·식기세척기·냉장고·에어컨), 커튼·블라인드 → 선택공사 참고</t>
        </is>
      </c>
      <c r="B17" s="8" t="n"/>
      <c r="C17" s="8" t="n"/>
      <c r="D17" s="8" t="n"/>
      <c r="E17" s="5" t="n"/>
    </row>
    <row r="18" ht="18" customHeight="1">
      <c r="A18" s="18" t="inlineStr">
        <is>
          <t>· 고객 지정 수입 조명기구·수전·도기 등 사양 상향분 (차액 정산)</t>
        </is>
      </c>
      <c r="B18" s="8" t="n"/>
      <c r="C18" s="8" t="n"/>
      <c r="D18" s="8" t="n"/>
      <c r="E18" s="5" t="n"/>
    </row>
    <row r="19" ht="18" customHeight="1">
      <c r="A19" s="18" t="inlineStr">
        <is>
          <t>· 철거 후 발견되는 숨은 하자 보수 — 배관 누수, 바닥 들뜸·크랙, 벽체 결로·곰팡이</t>
        </is>
      </c>
      <c r="B19" s="8" t="n"/>
      <c r="C19" s="8" t="n"/>
      <c r="D19" s="8" t="n"/>
      <c r="E19" s="5" t="n"/>
    </row>
    <row r="20" ht="18" customHeight="1">
      <c r="A20" s="18" t="inlineStr">
        <is>
          <t>· 이사·짐 보관, 단지에서 부과하는 엘리베이터 사용료·공사 예치금</t>
        </is>
      </c>
      <c r="B20" s="8" t="n"/>
      <c r="C20" s="8" t="n"/>
      <c r="D20" s="8" t="n"/>
      <c r="E20" s="5" t="n"/>
    </row>
    <row r="22">
      <c r="A22" s="65" t="inlineStr">
        <is>
          <t>특기 사항</t>
        </is>
      </c>
      <c r="B22" s="8" t="n"/>
      <c r="C22" s="8" t="n"/>
      <c r="D22" s="8" t="n"/>
      <c r="E22" s="5" t="n"/>
    </row>
    <row r="23" ht="30" customHeight="1">
      <c r="A23" s="18" t="inlineStr">
        <is>
          <t>1. 본 견적은 확장형 32평형(공급 105㎡ / 전용 84㎡), 천장고 2.3m 기준이며 현장 실측 후 수량을 확정합니다. 실측 수량이 달라지면 내역서 단가로 정산합니다.</t>
        </is>
      </c>
      <c r="B23" s="8" t="n"/>
      <c r="C23" s="8" t="n"/>
      <c r="D23" s="8" t="n"/>
      <c r="E23" s="5" t="n"/>
    </row>
    <row r="24" ht="18" customHeight="1">
      <c r="A24" s="18" t="inlineStr">
        <is>
          <t>2. 표기 브랜드는 기준 사양이며, 동급 이상으로 변경할 때는 고객의 사전 승인을 받습니다.</t>
        </is>
      </c>
      <c r="B24" s="8" t="n"/>
      <c r="C24" s="8" t="n"/>
      <c r="D24" s="8" t="n"/>
      <c r="E24" s="5" t="n"/>
    </row>
    <row r="25" ht="18" customHeight="1">
      <c r="A25" s="18" t="inlineStr">
        <is>
          <t>3. 철거 후 숨은 하자가 발견되면 사진을 공유하고 보수 범위·금액을 서면으로 합의한 뒤 진행합니다.</t>
        </is>
      </c>
      <c r="B25" s="8" t="n"/>
      <c r="C25" s="8" t="n"/>
      <c r="D25" s="8" t="n"/>
      <c r="E25" s="5" t="n"/>
    </row>
    <row r="26" ht="30" customHeight="1">
      <c r="A26" s="18" t="inlineStr">
        <is>
          <t>4. 작업 시간은 단지 관리규약을 따릅니다 (통상 평일 09:00~18:00, 소음 작업 17:00 이전). 토요일은 비소음 작업 위주로 진행하고, 일요일·공휴일은 휴무입니다.</t>
        </is>
      </c>
      <c r="B26" s="8" t="n"/>
      <c r="C26" s="8" t="n"/>
      <c r="D26" s="8" t="n"/>
      <c r="E26" s="5" t="n"/>
    </row>
    <row r="27" ht="18" customHeight="1">
      <c r="A27" s="18" t="inlineStr">
        <is>
          <t>5. 전기공사는 전기공사업 등록업체(제 울산-00821호)인 당사가 직접 시공합니다.</t>
        </is>
      </c>
      <c r="B27" s="8" t="n"/>
      <c r="C27" s="8" t="n"/>
      <c r="D27" s="8" t="n"/>
      <c r="E27" s="5" t="n"/>
    </row>
    <row r="28" ht="18" customHeight="1">
      <c r="A28" s="18" t="inlineStr">
        <is>
          <t>6. 계약은 공정거래위원회 「실내건축·창호공사 표준계약서」를 기준으로 작성합니다.</t>
        </is>
      </c>
      <c r="B28" s="8" t="n"/>
      <c r="C28" s="8" t="n"/>
      <c r="D28" s="8" t="n"/>
      <c r="E28" s="5" t="n"/>
    </row>
    <row r="29" ht="18" customHeight="1">
      <c r="A29" s="18" t="inlineStr">
        <is>
          <t>7. 견적 유효기간은 견적일로부터 30일이며, 이후에는 자재 단가 변동분을 반영해 재견적합니다.</t>
        </is>
      </c>
      <c r="B29" s="8" t="n"/>
      <c r="C29" s="8" t="n"/>
      <c r="D29" s="8" t="n"/>
      <c r="E29" s="5" t="n"/>
    </row>
    <row r="31">
      <c r="A31" s="65" t="inlineStr">
        <is>
          <t>하자보수 (준공일로부터 무상 A/S)</t>
        </is>
      </c>
      <c r="B31" s="8" t="n"/>
      <c r="C31" s="8" t="n"/>
      <c r="D31" s="8" t="n"/>
      <c r="E31" s="5" t="n"/>
    </row>
    <row r="32">
      <c r="A32" s="9" t="inlineStr">
        <is>
          <t>실내의장·목공·가구</t>
        </is>
      </c>
      <c r="B32" s="5" t="n"/>
      <c r="C32" s="61" t="inlineStr">
        <is>
          <t>1년</t>
        </is>
      </c>
    </row>
    <row r="33">
      <c r="A33" s="9" t="inlineStr">
        <is>
          <t>도배·필름·도장</t>
        </is>
      </c>
      <c r="B33" s="5" t="n"/>
      <c r="C33" s="61" t="inlineStr">
        <is>
          <t>1년</t>
        </is>
      </c>
    </row>
    <row r="34">
      <c r="A34" s="9" t="inlineStr">
        <is>
          <t>타일·바닥</t>
        </is>
      </c>
      <c r="B34" s="5" t="n"/>
      <c r="C34" s="61" t="inlineStr">
        <is>
          <t>1년</t>
        </is>
      </c>
    </row>
    <row r="35">
      <c r="A35" s="9" t="inlineStr">
        <is>
          <t>전기·조명</t>
        </is>
      </c>
      <c r="B35" s="5" t="n"/>
      <c r="C35" s="61" t="inlineStr">
        <is>
          <t>1년</t>
        </is>
      </c>
    </row>
    <row r="36">
      <c r="A36" s="9" t="inlineStr">
        <is>
          <t>방수 (욕실·발코니)</t>
        </is>
      </c>
      <c r="B36" s="5" t="n"/>
      <c r="C36" s="61" t="inlineStr">
        <is>
          <t>3년</t>
        </is>
      </c>
    </row>
    <row r="38">
      <c r="A38" s="15" t="inlineStr">
        <is>
          <t>위 견적 내용을 확인하였으며, 이에 따라 공사를 의뢰합니다.          20      년      월      일</t>
        </is>
      </c>
    </row>
    <row r="40">
      <c r="A40" s="66" t="inlineStr">
        <is>
          <t>고객 (갑)  :                                   (서명)</t>
        </is>
      </c>
      <c r="C40" s="66" t="inlineStr">
        <is>
          <t>공급자 (을)  :  ㈜엣지컴퍼니 대표이사 고진식  (인)</t>
        </is>
      </c>
    </row>
  </sheetData>
  <mergeCells count="28">
    <mergeCell ref="A24:E24"/>
    <mergeCell ref="C40:E40"/>
    <mergeCell ref="A11:E11"/>
    <mergeCell ref="A36:B36"/>
    <mergeCell ref="A1:E1"/>
    <mergeCell ref="A16:E16"/>
    <mergeCell ref="A25:E25"/>
    <mergeCell ref="A18:E18"/>
    <mergeCell ref="A27:E27"/>
    <mergeCell ref="A12:E12"/>
    <mergeCell ref="A26:E26"/>
    <mergeCell ref="A33:B33"/>
    <mergeCell ref="A32:B32"/>
    <mergeCell ref="A23:E23"/>
    <mergeCell ref="A14:E14"/>
    <mergeCell ref="A22:E22"/>
    <mergeCell ref="A17:E17"/>
    <mergeCell ref="A35:B35"/>
    <mergeCell ref="A29:E29"/>
    <mergeCell ref="A20:E20"/>
    <mergeCell ref="A38:E38"/>
    <mergeCell ref="A10:E10"/>
    <mergeCell ref="A28:E28"/>
    <mergeCell ref="A19:E19"/>
    <mergeCell ref="A13:E13"/>
    <mergeCell ref="A31:E31"/>
    <mergeCell ref="A34:B34"/>
    <mergeCell ref="A40:B40"/>
  </mergeCells>
  <printOptions horizontalCentered="1"/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2026-10-18T11:51:04Z</dcterms:created>
  <dcterms:modified xmlns:dcterms="http://purl.org/dc/terms/" xmlns:xsi="http://www.w3.org/2001/XMLSchema-instance" xsi:type="dcterms:W3CDTF">2026-10-18T11:51:04Z</dcterms:modified>
</cp:coreProperties>
</file>